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eungsu\Desktop\"/>
    </mc:Choice>
  </mc:AlternateContent>
  <xr:revisionPtr revIDLastSave="0" documentId="8_{81BE0EB4-91E6-48A7-89AA-306BDCC1FCA0}" xr6:coauthVersionLast="47" xr6:coauthVersionMax="47" xr10:uidLastSave="{00000000-0000-0000-0000-000000000000}"/>
  <bookViews>
    <workbookView xWindow="345" yWindow="405" windowWidth="26625" windowHeight="16515" activeTab="1" xr2:uid="{2173D268-FD53-4953-98A4-D0214C6CED24}"/>
  </bookViews>
  <sheets>
    <sheet name="표지" sheetId="1" r:id="rId1"/>
    <sheet name="공사전" sheetId="14" r:id="rId2"/>
    <sheet name="공사전후" sheetId="2" r:id="rId3"/>
    <sheet name="공사중" sheetId="11" r:id="rId4"/>
    <sheet name="안전관리비" sheetId="12" r:id="rId5"/>
    <sheet name="환경보전비" sheetId="13" r:id="rId6"/>
  </sheets>
  <definedNames>
    <definedName name="_xlnm.Print_Area" localSheetId="3">공사중!$A$1:$S$34</definedName>
    <definedName name="_xlnm.Print_Area" localSheetId="0">표지!$A$1:$V$35</definedName>
    <definedName name="공사명">표지!$B$3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" i="1" l="1"/>
  <c r="B32" i="1"/>
  <c r="B21" i="1"/>
  <c r="B3" i="1"/>
  <c r="AB21" i="2"/>
  <c r="AB19" i="2"/>
  <c r="AB17" i="2"/>
  <c r="AB15" i="2"/>
  <c r="AB13" i="2"/>
  <c r="AB11" i="2"/>
  <c r="AB9" i="2"/>
  <c r="AB7" i="2"/>
  <c r="AB5" i="2"/>
  <c r="AB3" i="2"/>
  <c r="C20" i="14"/>
  <c r="A20" i="14"/>
  <c r="AA4" i="14"/>
  <c r="AA5" i="14"/>
  <c r="AA6" i="14"/>
  <c r="AA7" i="14"/>
  <c r="AA8" i="14"/>
  <c r="AA9" i="14"/>
  <c r="AA10" i="14"/>
  <c r="AA11" i="14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A32" i="14"/>
  <c r="AA33" i="14"/>
  <c r="AA34" i="14"/>
  <c r="A3" i="14"/>
  <c r="C3" i="14"/>
  <c r="E1" i="14"/>
  <c r="AA4" i="13"/>
  <c r="AA5" i="13"/>
  <c r="AA6" i="13"/>
  <c r="AA7" i="13"/>
  <c r="AA8" i="13"/>
  <c r="AA9" i="13"/>
  <c r="AA10" i="13"/>
  <c r="AA11" i="13"/>
  <c r="AA12" i="13"/>
  <c r="AA13" i="13"/>
  <c r="AA14" i="13"/>
  <c r="AA15" i="13"/>
  <c r="AA16" i="13"/>
  <c r="AA17" i="13"/>
  <c r="AA18" i="13"/>
  <c r="AA19" i="13"/>
  <c r="AA20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4" i="12"/>
  <c r="AA5" i="12"/>
  <c r="AA6" i="12"/>
  <c r="AA7" i="12"/>
  <c r="AA8" i="12"/>
  <c r="AA9" i="12"/>
  <c r="AA10" i="12"/>
  <c r="AA11" i="12"/>
  <c r="AA12" i="12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4" i="11"/>
  <c r="AA5" i="11" s="1"/>
  <c r="AA6" i="11" s="1"/>
  <c r="AA7" i="11" s="1"/>
  <c r="AA8" i="11" s="1"/>
  <c r="AA9" i="11" s="1"/>
  <c r="AA10" i="11" s="1"/>
  <c r="AA11" i="11" s="1"/>
  <c r="AA12" i="11" s="1"/>
  <c r="AA13" i="11" s="1"/>
  <c r="AA14" i="11" s="1"/>
  <c r="AA15" i="11" s="1"/>
  <c r="AA16" i="11" s="1"/>
  <c r="AA17" i="11" s="1"/>
  <c r="AA18" i="11" s="1"/>
  <c r="AA19" i="11" s="1"/>
  <c r="AA20" i="11" s="1"/>
  <c r="AA21" i="11" s="1"/>
  <c r="AA22" i="11" s="1"/>
  <c r="AA23" i="11" s="1"/>
  <c r="AA24" i="11" s="1"/>
  <c r="AA25" i="11" s="1"/>
  <c r="AA26" i="11" s="1"/>
  <c r="AA27" i="11" s="1"/>
  <c r="AA28" i="11" s="1"/>
  <c r="AA29" i="11" s="1"/>
  <c r="AA30" i="11" s="1"/>
  <c r="AA31" i="11" s="1"/>
  <c r="AA32" i="11" s="1"/>
  <c r="AA33" i="11" s="1"/>
  <c r="AA34" i="11" s="1"/>
  <c r="A20" i="13"/>
  <c r="C20" i="13"/>
  <c r="A3" i="13"/>
  <c r="C3" i="13"/>
  <c r="E1" i="13"/>
  <c r="A20" i="12"/>
  <c r="C20" i="12"/>
  <c r="A3" i="12"/>
  <c r="C3" i="12"/>
  <c r="E1" i="12"/>
  <c r="A20" i="11"/>
  <c r="C20" i="11" s="1"/>
  <c r="A3" i="11"/>
  <c r="C3" i="11" s="1"/>
  <c r="E1" i="11"/>
  <c r="A20" i="2"/>
  <c r="C20" i="2"/>
  <c r="A3" i="2"/>
  <c r="C3" i="2"/>
  <c r="E1" i="2"/>
</calcChain>
</file>

<file path=xl/sharedStrings.xml><?xml version="1.0" encoding="utf-8"?>
<sst xmlns="http://schemas.openxmlformats.org/spreadsheetml/2006/main" count="73" uniqueCount="26">
  <si>
    <t>사 진 대 장</t>
    <phoneticPr fontId="1" type="noConversion"/>
  </si>
  <si>
    <t>공 사 명 :</t>
    <phoneticPr fontId="1" type="noConversion"/>
  </si>
  <si>
    <t>위치</t>
    <phoneticPr fontId="1" type="noConversion"/>
  </si>
  <si>
    <t>사진
설명</t>
    <phoneticPr fontId="1" type="noConversion"/>
  </si>
  <si>
    <t>현장내</t>
    <phoneticPr fontId="1" type="noConversion"/>
  </si>
  <si>
    <t>현장내</t>
    <phoneticPr fontId="1" type="noConversion"/>
  </si>
  <si>
    <t>공 사 전</t>
    <phoneticPr fontId="1" type="noConversion"/>
  </si>
  <si>
    <t>공 사 후</t>
    <phoneticPr fontId="1" type="noConversion"/>
  </si>
  <si>
    <t>공 사 중</t>
    <phoneticPr fontId="1" type="noConversion"/>
  </si>
  <si>
    <t>안 전 관 리 비</t>
    <phoneticPr fontId="1" type="noConversion"/>
  </si>
  <si>
    <t>환 경 보 전 비</t>
    <phoneticPr fontId="1" type="noConversion"/>
  </si>
  <si>
    <t>파일명 입력</t>
    <phoneticPr fontId="2" type="noConversion"/>
  </si>
  <si>
    <t>Page</t>
    <phoneticPr fontId="2" type="noConversion"/>
  </si>
  <si>
    <t>공사명</t>
    <phoneticPr fontId="1" type="noConversion"/>
  </si>
  <si>
    <t>분류</t>
    <phoneticPr fontId="1" type="noConversion"/>
  </si>
  <si>
    <t>년월</t>
    <phoneticPr fontId="1" type="noConversion"/>
  </si>
  <si>
    <t>도급사</t>
    <phoneticPr fontId="1" type="noConversion"/>
  </si>
  <si>
    <t>공사명을 입력하시오</t>
    <phoneticPr fontId="1" type="noConversion"/>
  </si>
  <si>
    <t>주식회사 다우건설</t>
    <phoneticPr fontId="1" type="noConversion"/>
  </si>
  <si>
    <t>[ 착공 ]</t>
  </si>
  <si>
    <t>[ 착공 ]</t>
    <phoneticPr fontId="1" type="noConversion"/>
  </si>
  <si>
    <t>[ 여건보고 ]</t>
    <phoneticPr fontId="1" type="noConversion"/>
  </si>
  <si>
    <t>[ 실정보고 ]</t>
    <phoneticPr fontId="1" type="noConversion"/>
  </si>
  <si>
    <t>[ 변 경 ]</t>
    <phoneticPr fontId="1" type="noConversion"/>
  </si>
  <si>
    <t>[ 준 공 ]</t>
    <phoneticPr fontId="1" type="noConversion"/>
  </si>
  <si>
    <t>여기에 파일명을 입력하세요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</si>
</sst>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yyyy\.mm\."/>
  </numFmts>
  <fonts count="1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distributed" vertical="center" indent="2"/>
    </xf>
    <xf numFmtId="0" fontId="7" fillId="0" borderId="0" xfId="0" applyFont="1" applyAlignment="1">
      <alignment horizontal="distributed" vertical="center" indent="2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9" xfId="0" applyBorder="1">
      <alignment vertical="center"/>
    </xf>
    <xf numFmtId="0" fontId="0" fillId="0" borderId="12" xfId="0" applyBorder="1" applyAlignment="1">
      <alignment horizontal="distributed" vertical="center" indent="1"/>
    </xf>
    <xf numFmtId="0" fontId="0" fillId="0" borderId="13" xfId="0" applyBorder="1" applyAlignment="1">
      <alignment horizontal="left" vertical="center" indent="1"/>
    </xf>
    <xf numFmtId="0" fontId="0" fillId="0" borderId="14" xfId="0" applyBorder="1" applyAlignment="1">
      <alignment horizontal="distributed" vertical="center" indent="1"/>
    </xf>
    <xf numFmtId="0" fontId="0" fillId="0" borderId="15" xfId="0" applyBorder="1" applyAlignment="1">
      <alignment horizontal="left" vertical="center" indent="1"/>
    </xf>
    <xf numFmtId="176" fontId="0" fillId="0" borderId="15" xfId="0" applyNumberFormat="1" applyBorder="1" applyAlignment="1">
      <alignment horizontal="left" vertical="center" indent="1"/>
    </xf>
    <xf numFmtId="0" fontId="0" fillId="0" borderId="16" xfId="0" applyBorder="1" applyAlignment="1">
      <alignment horizontal="distributed" vertical="center" indent="1"/>
    </xf>
    <xf numFmtId="0" fontId="0" fillId="0" borderId="17" xfId="0" applyBorder="1" applyAlignment="1">
      <alignment horizontal="left" vertical="center" indent="1"/>
    </xf>
    <xf numFmtId="0" fontId="9" fillId="0" borderId="0" xfId="0" applyFont="1" applyAlignment="1">
      <alignment horizontal="distributed" vertical="center" indent="2"/>
    </xf>
    <xf numFmtId="0" fontId="10" fillId="0" borderId="0" xfId="0" applyFont="1" applyAlignment="1">
      <alignment horizontal="distributed" vertical="center" indent="2"/>
    </xf>
    <xf numFmtId="177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1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142875</xdr:colOff>
      <xdr:row>31</xdr:row>
      <xdr:rowOff>180975</xdr:rowOff>
    </xdr:from>
    <xdr:to>
      <xdr:col>6</xdr:col>
      <xdr:colOff>28575</xdr:colOff>
      <xdr:row>33</xdr:row>
      <xdr:rowOff>47625</xdr:rowOff>
    </xdr:to>
    <xdr:pic>
      <xdr:nvPicPr>
        <xdr:cNvPr id="1298" name="그림 1">
          <a:extLst>
            <a:ext uri="{FF2B5EF4-FFF2-40B4-BE49-F238E27FC236}">
              <a16:creationId xmlns:a16="http://schemas.microsoft.com/office/drawing/2014/main" id="{62AB970E-3C4E-D8D7-BB47-DF396D6B3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7858125"/>
          <a:ext cx="7143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85725</xdr:colOff>
      <xdr:row>10</xdr:row>
      <xdr:rowOff>171450</xdr:rowOff>
    </xdr:from>
    <xdr:to>
      <xdr:col>30</xdr:col>
      <xdr:colOff>266700</xdr:colOff>
      <xdr:row>12</xdr:row>
      <xdr:rowOff>209550</xdr:rowOff>
    </xdr:to>
    <xdr:pic>
      <xdr:nvPicPr>
        <xdr:cNvPr id="1299" name="그림 3">
          <a:extLst>
            <a:ext uri="{FF2B5EF4-FFF2-40B4-BE49-F238E27FC236}">
              <a16:creationId xmlns:a16="http://schemas.microsoft.com/office/drawing/2014/main" id="{2316EE97-8B33-DDF4-F25E-C3D621EEE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9475" y="2647950"/>
          <a:ext cx="16573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104775</xdr:colOff>
      <xdr:row>13</xdr:row>
      <xdr:rowOff>47625</xdr:rowOff>
    </xdr:from>
    <xdr:to>
      <xdr:col>30</xdr:col>
      <xdr:colOff>38100</xdr:colOff>
      <xdr:row>15</xdr:row>
      <xdr:rowOff>95250</xdr:rowOff>
    </xdr:to>
    <xdr:pic>
      <xdr:nvPicPr>
        <xdr:cNvPr id="1300" name="그림 4">
          <a:extLst>
            <a:ext uri="{FF2B5EF4-FFF2-40B4-BE49-F238E27FC236}">
              <a16:creationId xmlns:a16="http://schemas.microsoft.com/office/drawing/2014/main" id="{DC692961-3438-BDD5-7463-AA8C20FB4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8525" y="3267075"/>
          <a:ext cx="14097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76200</xdr:colOff>
      <xdr:row>14</xdr:row>
      <xdr:rowOff>142875</xdr:rowOff>
    </xdr:from>
    <xdr:to>
      <xdr:col>38</xdr:col>
      <xdr:colOff>114300</xdr:colOff>
      <xdr:row>18</xdr:row>
      <xdr:rowOff>161925</xdr:rowOff>
    </xdr:to>
    <xdr:pic>
      <xdr:nvPicPr>
        <xdr:cNvPr id="1301" name="그림 5">
          <a:extLst>
            <a:ext uri="{FF2B5EF4-FFF2-40B4-BE49-F238E27FC236}">
              <a16:creationId xmlns:a16="http://schemas.microsoft.com/office/drawing/2014/main" id="{CC72E2DD-2CC0-A88A-5AD2-8474703E5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0" y="3609975"/>
          <a:ext cx="14192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238125</xdr:colOff>
      <xdr:row>15</xdr:row>
      <xdr:rowOff>171450</xdr:rowOff>
    </xdr:from>
    <xdr:to>
      <xdr:col>31</xdr:col>
      <xdr:colOff>66675</xdr:colOff>
      <xdr:row>17</xdr:row>
      <xdr:rowOff>219075</xdr:rowOff>
    </xdr:to>
    <xdr:pic>
      <xdr:nvPicPr>
        <xdr:cNvPr id="1302" name="그림 6">
          <a:extLst>
            <a:ext uri="{FF2B5EF4-FFF2-40B4-BE49-F238E27FC236}">
              <a16:creationId xmlns:a16="http://schemas.microsoft.com/office/drawing/2014/main" id="{2827DF3B-C5ED-39C0-C40A-E7BBB4269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5650" y="3886200"/>
          <a:ext cx="18573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66675</xdr:colOff>
      <xdr:row>17</xdr:row>
      <xdr:rowOff>180975</xdr:rowOff>
    </xdr:from>
    <xdr:to>
      <xdr:col>31</xdr:col>
      <xdr:colOff>133350</xdr:colOff>
      <xdr:row>19</xdr:row>
      <xdr:rowOff>228600</xdr:rowOff>
    </xdr:to>
    <xdr:pic>
      <xdr:nvPicPr>
        <xdr:cNvPr id="1303" name="그림 7">
          <a:extLst>
            <a:ext uri="{FF2B5EF4-FFF2-40B4-BE49-F238E27FC236}">
              <a16:creationId xmlns:a16="http://schemas.microsoft.com/office/drawing/2014/main" id="{5A5012EF-5AA0-D1D9-4EC7-41526186C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4391025"/>
          <a:ext cx="20955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266700</xdr:colOff>
      <xdr:row>20</xdr:row>
      <xdr:rowOff>123825</xdr:rowOff>
    </xdr:from>
    <xdr:to>
      <xdr:col>30</xdr:col>
      <xdr:colOff>238125</xdr:colOff>
      <xdr:row>24</xdr:row>
      <xdr:rowOff>209550</xdr:rowOff>
    </xdr:to>
    <xdr:pic>
      <xdr:nvPicPr>
        <xdr:cNvPr id="1304" name="그림 8">
          <a:extLst>
            <a:ext uri="{FF2B5EF4-FFF2-40B4-BE49-F238E27FC236}">
              <a16:creationId xmlns:a16="http://schemas.microsoft.com/office/drawing/2014/main" id="{9CEF2C78-6256-0C9A-BBE6-298968BDC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4225" y="5076825"/>
          <a:ext cx="17240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200025</xdr:colOff>
      <xdr:row>26</xdr:row>
      <xdr:rowOff>38100</xdr:rowOff>
    </xdr:from>
    <xdr:to>
      <xdr:col>30</xdr:col>
      <xdr:colOff>266700</xdr:colOff>
      <xdr:row>28</xdr:row>
      <xdr:rowOff>95250</xdr:rowOff>
    </xdr:to>
    <xdr:pic>
      <xdr:nvPicPr>
        <xdr:cNvPr id="1305" name="그림 1">
          <a:extLst>
            <a:ext uri="{FF2B5EF4-FFF2-40B4-BE49-F238E27FC236}">
              <a16:creationId xmlns:a16="http://schemas.microsoft.com/office/drawing/2014/main" id="{A372332E-14DC-FA52-835D-3BE3CD7AD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53775" y="6477000"/>
          <a:ext cx="15430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9525</xdr:colOff>
      <xdr:row>29</xdr:row>
      <xdr:rowOff>95250</xdr:rowOff>
    </xdr:from>
    <xdr:to>
      <xdr:col>32</xdr:col>
      <xdr:colOff>47625</xdr:colOff>
      <xdr:row>31</xdr:row>
      <xdr:rowOff>9525</xdr:rowOff>
    </xdr:to>
    <xdr:pic>
      <xdr:nvPicPr>
        <xdr:cNvPr id="1306" name="그림 2">
          <a:extLst>
            <a:ext uri="{FF2B5EF4-FFF2-40B4-BE49-F238E27FC236}">
              <a16:creationId xmlns:a16="http://schemas.microsoft.com/office/drawing/2014/main" id="{C71C370F-8B47-4337-8638-6B1DC368D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10975" y="7277100"/>
          <a:ext cx="14192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DA77-6587-4859-83F3-9A8404E93713}">
  <sheetPr codeName="Sheet1"/>
  <dimension ref="B3:AA34"/>
  <sheetViews>
    <sheetView view="pageBreakPreview" zoomScaleNormal="80" zoomScaleSheetLayoutView="100" workbookViewId="0">
      <selection activeCell="Y14" sqref="Y14"/>
    </sheetView>
  </sheetViews>
  <sheetFormatPr defaultColWidth="3.625" defaultRowHeight="20.100000000000001" customHeight="1" x14ac:dyDescent="0.3"/>
  <cols>
    <col min="24" max="24" width="13.375" customWidth="1"/>
    <col min="25" max="25" width="43.375" customWidth="1"/>
    <col min="27" max="27" width="8.5" customWidth="1"/>
  </cols>
  <sheetData>
    <row r="3" spans="2:27" ht="20.100000000000001" customHeight="1" x14ac:dyDescent="0.3">
      <c r="B3" s="23" t="str">
        <f>Y3</f>
        <v>공사명을 입력하시오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X3" s="16" t="s">
        <v>13</v>
      </c>
      <c r="Y3" s="17" t="s">
        <v>17</v>
      </c>
      <c r="AA3" t="s">
        <v>20</v>
      </c>
    </row>
    <row r="4" spans="2:27" ht="20.100000000000001" customHeight="1" x14ac:dyDescent="0.3"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X4" s="18" t="s">
        <v>14</v>
      </c>
      <c r="Y4" s="19" t="s">
        <v>19</v>
      </c>
      <c r="AA4" t="s">
        <v>21</v>
      </c>
    </row>
    <row r="5" spans="2:27" ht="20.100000000000001" customHeight="1" x14ac:dyDescent="0.3"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X5" s="18" t="s">
        <v>15</v>
      </c>
      <c r="Y5" s="20">
        <v>45964</v>
      </c>
      <c r="AA5" t="s">
        <v>22</v>
      </c>
    </row>
    <row r="6" spans="2:27" ht="20.100000000000001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X6" s="21" t="s">
        <v>16</v>
      </c>
      <c r="Y6" s="22" t="s">
        <v>18</v>
      </c>
      <c r="AA6" t="s">
        <v>23</v>
      </c>
    </row>
    <row r="7" spans="2:27" ht="20.100000000000001" customHeight="1" x14ac:dyDescent="0.3">
      <c r="B7" s="24" t="s">
        <v>0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AA7" t="s">
        <v>24</v>
      </c>
    </row>
    <row r="8" spans="2:27" ht="20.100000000000001" customHeight="1" x14ac:dyDescent="0.3"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</row>
    <row r="9" spans="2:27" ht="20.100000000000001" customHeight="1" x14ac:dyDescent="0.3"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</row>
    <row r="10" spans="2:27" ht="20.100000000000001" customHeight="1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2:27" ht="20.100000000000001" customHeight="1" x14ac:dyDescent="0.3">
      <c r="C11" s="1"/>
      <c r="D11" s="1"/>
      <c r="E11" s="1"/>
      <c r="F11" s="1"/>
      <c r="G11" s="1"/>
      <c r="H11" s="27" t="str">
        <f>Y4</f>
        <v>[ 착공 ]</v>
      </c>
      <c r="I11" s="27"/>
      <c r="J11" s="27"/>
      <c r="K11" s="27"/>
      <c r="L11" s="27"/>
      <c r="M11" s="27"/>
      <c r="N11" s="27"/>
      <c r="O11" s="27"/>
      <c r="P11" s="1"/>
      <c r="Q11" s="1"/>
      <c r="R11" s="1"/>
      <c r="S11" s="1"/>
      <c r="T11" s="1"/>
    </row>
    <row r="12" spans="2:27" ht="20.100000000000001" customHeight="1" x14ac:dyDescent="0.3">
      <c r="B12" s="1"/>
      <c r="C12" s="1"/>
      <c r="D12" s="1"/>
      <c r="E12" s="1"/>
      <c r="F12" s="1"/>
      <c r="G12" s="1"/>
      <c r="H12" s="27"/>
      <c r="I12" s="27"/>
      <c r="J12" s="27"/>
      <c r="K12" s="27"/>
      <c r="L12" s="27"/>
      <c r="M12" s="27"/>
      <c r="N12" s="27"/>
      <c r="O12" s="27"/>
      <c r="P12" s="1"/>
      <c r="Q12" s="1"/>
      <c r="R12" s="1"/>
      <c r="S12" s="1"/>
      <c r="T12" s="1"/>
    </row>
    <row r="21" spans="2:20" ht="20.100000000000001" customHeight="1" x14ac:dyDescent="0.3">
      <c r="B21" s="25">
        <f>Y5</f>
        <v>45964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spans="2:20" ht="20.100000000000001" customHeight="1" x14ac:dyDescent="0.3"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32" spans="2:20" ht="20.100000000000001" customHeight="1" x14ac:dyDescent="0.3">
      <c r="B32" s="26" t="str">
        <f>Y6</f>
        <v>주식회사 다우건설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</row>
    <row r="33" spans="2:20" ht="20.100000000000001" customHeight="1" x14ac:dyDescent="0.3"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  <row r="34" spans="2:20" ht="20.100000000000001" customHeight="1" x14ac:dyDescent="0.3"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</row>
  </sheetData>
  <mergeCells count="5">
    <mergeCell ref="B3:T5"/>
    <mergeCell ref="B7:T9"/>
    <mergeCell ref="B21:T22"/>
    <mergeCell ref="B32:T34"/>
    <mergeCell ref="H11:O12"/>
  </mergeCells>
  <phoneticPr fontId="1" type="noConversion"/>
  <dataValidations count="1">
    <dataValidation type="list" allowBlank="1" showInputMessage="1" sqref="Y4" xr:uid="{27548EB2-CA0E-4027-BBDE-D936EB82CAD3}">
      <formula1>$AA$2:$AA$7</formula1>
    </dataValidation>
  </dataValidations>
  <printOptions horizontalCentered="1"/>
  <pageMargins left="0.59055118110236227" right="0.59055118110236227" top="0.98425196850393704" bottom="0.59055118110236227" header="0.78740157480314965" footer="0.3937007874015748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3208-8B97-4E9B-B82F-7D7715F39521}">
  <sheetPr codeName="Sheet6"/>
  <dimension ref="A1:AB34"/>
  <sheetViews>
    <sheetView showGridLines="0" tabSelected="1" zoomScaleNormal="100" zoomScaleSheetLayoutView="70" workbookViewId="0">
      <selection activeCell="AB3" sqref="AB3"/>
    </sheetView>
  </sheetViews>
  <sheetFormatPr defaultColWidth="4.375" defaultRowHeight="20.100000000000001" customHeight="1" x14ac:dyDescent="0.3"/>
  <cols>
    <col min="25" max="25" width="6.625" customWidth="1"/>
    <col min="26" max="26" width="0" hidden="1" customWidth="1"/>
    <col min="27" max="27" width="5.5" hidden="1" customWidth="1"/>
    <col min="28" max="28" width="24.625" customWidth="1"/>
  </cols>
  <sheetData>
    <row r="1" spans="1:28" ht="20.100000000000001" customHeight="1" x14ac:dyDescent="0.3">
      <c r="A1" s="12"/>
      <c r="B1" s="28" t="s">
        <v>1</v>
      </c>
      <c r="C1" s="28"/>
      <c r="D1" s="28"/>
      <c r="E1" s="29" t="str">
        <f>공사명</f>
        <v>공사명을 입력하시오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12"/>
      <c r="Y1" s="44" t="s">
        <v>25</v>
      </c>
      <c r="Z1" s="44"/>
      <c r="AA1" s="44"/>
      <c r="AB1" s="44"/>
    </row>
    <row r="2" spans="1:28" ht="20.100000000000001" customHeight="1" x14ac:dyDescent="0.3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  <c r="Y2" s="13" t="s">
        <v>12</v>
      </c>
      <c r="AB2" s="13" t="s">
        <v>11</v>
      </c>
    </row>
    <row r="3" spans="1:28" ht="20.100000000000001" customHeight="1" x14ac:dyDescent="0.3">
      <c r="A3" s="14">
        <f>ROW()</f>
        <v>3</v>
      </c>
      <c r="B3" s="7"/>
      <c r="C3" s="30" t="str">
        <f>IF(VLOOKUP($A3,$AA$3:$AB$34,2,FALSE)="","",VLOOKUP($A3,$AA$3:$AB$34,2,FALSE))</f>
        <v/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2"/>
      <c r="R3" s="8"/>
      <c r="Y3" s="38">
        <v>1</v>
      </c>
      <c r="Z3" s="15">
        <v>17</v>
      </c>
      <c r="AA3" s="15">
        <v>3</v>
      </c>
      <c r="AB3" s="15"/>
    </row>
    <row r="4" spans="1:28" ht="20.100000000000001" customHeight="1" x14ac:dyDescent="0.3">
      <c r="B4" s="7"/>
      <c r="C4" s="33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34"/>
      <c r="R4" s="8"/>
      <c r="Y4" s="38"/>
      <c r="Z4" s="15"/>
      <c r="AA4" s="15">
        <f>AA3+$Z$3</f>
        <v>20</v>
      </c>
      <c r="AB4" s="15"/>
    </row>
    <row r="5" spans="1:28" ht="20.100000000000001" customHeight="1" x14ac:dyDescent="0.3">
      <c r="B5" s="7"/>
      <c r="C5" s="33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34"/>
      <c r="R5" s="8"/>
      <c r="Y5" s="38">
        <v>2</v>
      </c>
      <c r="Z5" s="15"/>
      <c r="AA5" s="15">
        <f t="shared" ref="AA5:AA34" si="0">AA4+$Z$3</f>
        <v>37</v>
      </c>
      <c r="AB5" s="15"/>
    </row>
    <row r="6" spans="1:28" ht="20.100000000000001" customHeight="1" x14ac:dyDescent="0.3">
      <c r="B6" s="7"/>
      <c r="C6" s="33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34"/>
      <c r="R6" s="8"/>
      <c r="Y6" s="38"/>
      <c r="Z6" s="15"/>
      <c r="AA6" s="15">
        <f t="shared" si="0"/>
        <v>54</v>
      </c>
      <c r="AB6" s="15"/>
    </row>
    <row r="7" spans="1:28" ht="20.100000000000001" customHeight="1" x14ac:dyDescent="0.3">
      <c r="B7" s="7"/>
      <c r="C7" s="33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34"/>
      <c r="R7" s="8"/>
      <c r="Y7" s="38">
        <v>3</v>
      </c>
      <c r="Z7" s="15"/>
      <c r="AA7" s="15">
        <f t="shared" si="0"/>
        <v>71</v>
      </c>
      <c r="AB7" s="15"/>
    </row>
    <row r="8" spans="1:28" ht="20.100000000000001" customHeight="1" x14ac:dyDescent="0.3">
      <c r="B8" s="7"/>
      <c r="C8" s="33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34"/>
      <c r="R8" s="8"/>
      <c r="Y8" s="38"/>
      <c r="Z8" s="15"/>
      <c r="AA8" s="15">
        <f t="shared" si="0"/>
        <v>88</v>
      </c>
      <c r="AB8" s="15"/>
    </row>
    <row r="9" spans="1:28" ht="20.100000000000001" customHeight="1" x14ac:dyDescent="0.3">
      <c r="B9" s="7"/>
      <c r="C9" s="33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34"/>
      <c r="R9" s="8"/>
      <c r="Y9" s="38">
        <v>4</v>
      </c>
      <c r="Z9" s="15"/>
      <c r="AA9" s="15">
        <f t="shared" si="0"/>
        <v>105</v>
      </c>
      <c r="AB9" s="15"/>
    </row>
    <row r="10" spans="1:28" ht="20.100000000000001" customHeight="1" x14ac:dyDescent="0.3">
      <c r="B10" s="7"/>
      <c r="C10" s="33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34"/>
      <c r="R10" s="8"/>
      <c r="Y10" s="38"/>
      <c r="Z10" s="15"/>
      <c r="AA10" s="15">
        <f t="shared" si="0"/>
        <v>122</v>
      </c>
      <c r="AB10" s="15"/>
    </row>
    <row r="11" spans="1:28" ht="20.100000000000001" customHeight="1" x14ac:dyDescent="0.3">
      <c r="B11" s="7"/>
      <c r="C11" s="33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34"/>
      <c r="R11" s="8"/>
      <c r="Y11" s="38">
        <v>5</v>
      </c>
      <c r="Z11" s="15"/>
      <c r="AA11" s="15">
        <f t="shared" si="0"/>
        <v>139</v>
      </c>
      <c r="AB11" s="15"/>
    </row>
    <row r="12" spans="1:28" ht="20.100000000000001" customHeight="1" x14ac:dyDescent="0.3">
      <c r="B12" s="7"/>
      <c r="C12" s="33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34"/>
      <c r="R12" s="8"/>
      <c r="Y12" s="38"/>
      <c r="Z12" s="15"/>
      <c r="AA12" s="15">
        <f t="shared" si="0"/>
        <v>156</v>
      </c>
      <c r="AB12" s="15"/>
    </row>
    <row r="13" spans="1:28" ht="20.100000000000001" customHeight="1" x14ac:dyDescent="0.3">
      <c r="B13" s="7"/>
      <c r="C13" s="33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34"/>
      <c r="R13" s="8"/>
      <c r="Y13" s="38">
        <v>6</v>
      </c>
      <c r="Z13" s="15"/>
      <c r="AA13" s="15">
        <f t="shared" si="0"/>
        <v>173</v>
      </c>
      <c r="AB13" s="15"/>
    </row>
    <row r="14" spans="1:28" ht="20.100000000000001" customHeight="1" x14ac:dyDescent="0.3">
      <c r="B14" s="7"/>
      <c r="C14" s="35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8"/>
      <c r="Y14" s="38"/>
      <c r="Z14" s="15"/>
      <c r="AA14" s="15">
        <f t="shared" si="0"/>
        <v>190</v>
      </c>
      <c r="AB14" s="15"/>
    </row>
    <row r="15" spans="1:28" ht="20.100000000000001" customHeight="1" x14ac:dyDescent="0.3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1"/>
      <c r="Y15" s="38">
        <v>7</v>
      </c>
      <c r="Z15" s="15"/>
      <c r="AA15" s="15">
        <f t="shared" si="0"/>
        <v>207</v>
      </c>
      <c r="AB15" s="15"/>
    </row>
    <row r="16" spans="1:28" ht="20.100000000000001" customHeight="1" x14ac:dyDescent="0.3">
      <c r="B16" s="39" t="s">
        <v>3</v>
      </c>
      <c r="C16" s="32"/>
      <c r="D16" s="30" t="s">
        <v>6</v>
      </c>
      <c r="E16" s="31"/>
      <c r="F16" s="31"/>
      <c r="G16" s="31"/>
      <c r="H16" s="31"/>
      <c r="I16" s="31"/>
      <c r="J16" s="31"/>
      <c r="K16" s="31"/>
      <c r="L16" s="32"/>
      <c r="M16" s="40" t="s">
        <v>2</v>
      </c>
      <c r="N16" s="40"/>
      <c r="O16" s="42" t="s">
        <v>4</v>
      </c>
      <c r="P16" s="42"/>
      <c r="Q16" s="42"/>
      <c r="R16" s="42"/>
      <c r="Y16" s="38"/>
      <c r="Z16" s="15"/>
      <c r="AA16" s="15">
        <f t="shared" si="0"/>
        <v>224</v>
      </c>
      <c r="AB16" s="15"/>
    </row>
    <row r="17" spans="1:28" ht="20.100000000000001" customHeight="1" x14ac:dyDescent="0.3">
      <c r="B17" s="35"/>
      <c r="C17" s="37"/>
      <c r="D17" s="35"/>
      <c r="E17" s="36"/>
      <c r="F17" s="36"/>
      <c r="G17" s="36"/>
      <c r="H17" s="36"/>
      <c r="I17" s="36"/>
      <c r="J17" s="36"/>
      <c r="K17" s="36"/>
      <c r="L17" s="37"/>
      <c r="M17" s="41"/>
      <c r="N17" s="41"/>
      <c r="O17" s="43"/>
      <c r="P17" s="43"/>
      <c r="Q17" s="43"/>
      <c r="R17" s="43"/>
      <c r="Y17" s="38">
        <v>8</v>
      </c>
      <c r="Z17" s="15"/>
      <c r="AA17" s="15">
        <f t="shared" si="0"/>
        <v>241</v>
      </c>
      <c r="AB17" s="15"/>
    </row>
    <row r="18" spans="1:28" ht="20.100000000000001" customHeight="1" x14ac:dyDescent="0.3">
      <c r="Y18" s="38"/>
      <c r="Z18" s="15"/>
      <c r="AA18" s="15">
        <f t="shared" si="0"/>
        <v>258</v>
      </c>
      <c r="AB18" s="15"/>
    </row>
    <row r="19" spans="1:28" ht="20.100000000000001" customHeight="1" x14ac:dyDescent="0.3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6"/>
      <c r="Y19" s="38">
        <v>9</v>
      </c>
      <c r="Z19" s="15"/>
      <c r="AA19" s="15">
        <f t="shared" si="0"/>
        <v>275</v>
      </c>
      <c r="AB19" s="15"/>
    </row>
    <row r="20" spans="1:28" ht="20.100000000000001" customHeight="1" x14ac:dyDescent="0.3">
      <c r="A20" s="14">
        <f>ROW()</f>
        <v>20</v>
      </c>
      <c r="B20" s="7"/>
      <c r="C20" s="30" t="str">
        <f>IF(VLOOKUP($A20,$AA$3:$AB$34,2,FALSE)="","",VLOOKUP($A20,$AA$3:$AB$34,2,FALSE))</f>
        <v/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2"/>
      <c r="R20" s="8"/>
      <c r="Y20" s="38"/>
      <c r="Z20" s="15"/>
      <c r="AA20" s="15">
        <f t="shared" si="0"/>
        <v>292</v>
      </c>
      <c r="AB20" s="15"/>
    </row>
    <row r="21" spans="1:28" ht="20.100000000000001" customHeight="1" x14ac:dyDescent="0.3">
      <c r="B21" s="7"/>
      <c r="C21" s="33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34"/>
      <c r="R21" s="8"/>
      <c r="Y21" s="38">
        <v>10</v>
      </c>
      <c r="Z21" s="15"/>
      <c r="AA21" s="15">
        <f t="shared" si="0"/>
        <v>309</v>
      </c>
      <c r="AB21" s="15"/>
    </row>
    <row r="22" spans="1:28" ht="20.100000000000001" customHeight="1" x14ac:dyDescent="0.3">
      <c r="B22" s="7"/>
      <c r="C22" s="33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34"/>
      <c r="R22" s="8"/>
      <c r="Y22" s="38"/>
      <c r="Z22" s="15"/>
      <c r="AA22" s="15">
        <f t="shared" si="0"/>
        <v>326</v>
      </c>
      <c r="AB22" s="15"/>
    </row>
    <row r="23" spans="1:28" ht="20.100000000000001" customHeight="1" x14ac:dyDescent="0.3">
      <c r="B23" s="7"/>
      <c r="C23" s="33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34"/>
      <c r="R23" s="8"/>
      <c r="Y23" s="38">
        <v>11</v>
      </c>
      <c r="Z23" s="15"/>
      <c r="AA23" s="15">
        <f t="shared" si="0"/>
        <v>343</v>
      </c>
      <c r="AB23" s="15"/>
    </row>
    <row r="24" spans="1:28" ht="20.100000000000001" customHeight="1" x14ac:dyDescent="0.3">
      <c r="B24" s="7"/>
      <c r="C24" s="33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34"/>
      <c r="R24" s="8"/>
      <c r="Y24" s="38"/>
      <c r="Z24" s="15"/>
      <c r="AA24" s="15">
        <f t="shared" si="0"/>
        <v>360</v>
      </c>
      <c r="AB24" s="15"/>
    </row>
    <row r="25" spans="1:28" ht="20.100000000000001" customHeight="1" x14ac:dyDescent="0.3">
      <c r="B25" s="7"/>
      <c r="C25" s="33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34"/>
      <c r="R25" s="8"/>
      <c r="Y25" s="38">
        <v>12</v>
      </c>
      <c r="Z25" s="15"/>
      <c r="AA25" s="15">
        <f t="shared" si="0"/>
        <v>377</v>
      </c>
      <c r="AB25" s="15"/>
    </row>
    <row r="26" spans="1:28" ht="20.100000000000001" customHeight="1" x14ac:dyDescent="0.3">
      <c r="B26" s="7"/>
      <c r="C26" s="33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34"/>
      <c r="R26" s="8"/>
      <c r="Y26" s="38"/>
      <c r="Z26" s="15"/>
      <c r="AA26" s="15">
        <f t="shared" si="0"/>
        <v>394</v>
      </c>
      <c r="AB26" s="15"/>
    </row>
    <row r="27" spans="1:28" ht="20.100000000000001" customHeight="1" x14ac:dyDescent="0.3">
      <c r="B27" s="7"/>
      <c r="C27" s="33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34"/>
      <c r="R27" s="8"/>
      <c r="Y27" s="38">
        <v>13</v>
      </c>
      <c r="Z27" s="15"/>
      <c r="AA27" s="15">
        <f t="shared" si="0"/>
        <v>411</v>
      </c>
      <c r="AB27" s="15"/>
    </row>
    <row r="28" spans="1:28" ht="20.100000000000001" customHeight="1" x14ac:dyDescent="0.3">
      <c r="B28" s="7"/>
      <c r="C28" s="33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34"/>
      <c r="R28" s="8"/>
      <c r="Y28" s="38"/>
      <c r="Z28" s="15"/>
      <c r="AA28" s="15">
        <f t="shared" si="0"/>
        <v>428</v>
      </c>
      <c r="AB28" s="15"/>
    </row>
    <row r="29" spans="1:28" ht="20.100000000000001" customHeight="1" x14ac:dyDescent="0.3">
      <c r="B29" s="7"/>
      <c r="C29" s="33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34"/>
      <c r="R29" s="8"/>
      <c r="Y29" s="38">
        <v>14</v>
      </c>
      <c r="Z29" s="15"/>
      <c r="AA29" s="15">
        <f t="shared" si="0"/>
        <v>445</v>
      </c>
      <c r="AB29" s="15"/>
    </row>
    <row r="30" spans="1:28" ht="20.100000000000001" customHeight="1" x14ac:dyDescent="0.3">
      <c r="B30" s="7"/>
      <c r="C30" s="33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34"/>
      <c r="R30" s="8"/>
      <c r="Y30" s="38"/>
      <c r="Z30" s="15"/>
      <c r="AA30" s="15">
        <f t="shared" si="0"/>
        <v>462</v>
      </c>
      <c r="AB30" s="15"/>
    </row>
    <row r="31" spans="1:28" ht="20.100000000000001" customHeight="1" x14ac:dyDescent="0.3">
      <c r="B31" s="7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8"/>
      <c r="Y31" s="38">
        <v>15</v>
      </c>
      <c r="Z31" s="15"/>
      <c r="AA31" s="15">
        <f t="shared" si="0"/>
        <v>479</v>
      </c>
      <c r="AB31" s="15"/>
    </row>
    <row r="32" spans="1:28" ht="20.100000000000001" customHeight="1" x14ac:dyDescent="0.3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1"/>
      <c r="Y32" s="38"/>
      <c r="Z32" s="15"/>
      <c r="AA32" s="15">
        <f t="shared" si="0"/>
        <v>496</v>
      </c>
      <c r="AB32" s="15"/>
    </row>
    <row r="33" spans="2:28" ht="20.100000000000001" customHeight="1" x14ac:dyDescent="0.3">
      <c r="B33" s="39" t="s">
        <v>3</v>
      </c>
      <c r="C33" s="32"/>
      <c r="D33" s="30" t="s">
        <v>6</v>
      </c>
      <c r="E33" s="31"/>
      <c r="F33" s="31"/>
      <c r="G33" s="31"/>
      <c r="H33" s="31"/>
      <c r="I33" s="31"/>
      <c r="J33" s="31"/>
      <c r="K33" s="31"/>
      <c r="L33" s="32"/>
      <c r="M33" s="40" t="s">
        <v>2</v>
      </c>
      <c r="N33" s="40"/>
      <c r="O33" s="42" t="s">
        <v>4</v>
      </c>
      <c r="P33" s="42"/>
      <c r="Q33" s="42"/>
      <c r="R33" s="42"/>
      <c r="Y33" s="38">
        <v>16</v>
      </c>
      <c r="Z33" s="15"/>
      <c r="AA33" s="15">
        <f t="shared" si="0"/>
        <v>513</v>
      </c>
      <c r="AB33" s="15"/>
    </row>
    <row r="34" spans="2:28" ht="20.100000000000001" customHeight="1" x14ac:dyDescent="0.3">
      <c r="B34" s="35"/>
      <c r="C34" s="37"/>
      <c r="D34" s="35"/>
      <c r="E34" s="36"/>
      <c r="F34" s="36"/>
      <c r="G34" s="36"/>
      <c r="H34" s="36"/>
      <c r="I34" s="36"/>
      <c r="J34" s="36"/>
      <c r="K34" s="36"/>
      <c r="L34" s="37"/>
      <c r="M34" s="41"/>
      <c r="N34" s="41"/>
      <c r="O34" s="43"/>
      <c r="P34" s="43"/>
      <c r="Q34" s="43"/>
      <c r="R34" s="43"/>
      <c r="Y34" s="38"/>
      <c r="Z34" s="15"/>
      <c r="AA34" s="15">
        <f t="shared" si="0"/>
        <v>530</v>
      </c>
      <c r="AB34" s="15"/>
    </row>
  </sheetData>
  <mergeCells count="29">
    <mergeCell ref="B33:C34"/>
    <mergeCell ref="D33:L34"/>
    <mergeCell ref="M33:N34"/>
    <mergeCell ref="O33:R34"/>
    <mergeCell ref="Y33:Y34"/>
    <mergeCell ref="Y19:Y20"/>
    <mergeCell ref="C20:Q31"/>
    <mergeCell ref="Y21:Y22"/>
    <mergeCell ref="Y23:Y24"/>
    <mergeCell ref="Y25:Y26"/>
    <mergeCell ref="Y27:Y28"/>
    <mergeCell ref="Y29:Y30"/>
    <mergeCell ref="Y31:Y32"/>
    <mergeCell ref="Y15:Y16"/>
    <mergeCell ref="B16:C17"/>
    <mergeCell ref="D16:L17"/>
    <mergeCell ref="M16:N17"/>
    <mergeCell ref="O16:R17"/>
    <mergeCell ref="Y17:Y18"/>
    <mergeCell ref="B1:D1"/>
    <mergeCell ref="E1:R1"/>
    <mergeCell ref="C3:Q14"/>
    <mergeCell ref="Y3:Y4"/>
    <mergeCell ref="Y5:Y6"/>
    <mergeCell ref="Y7:Y8"/>
    <mergeCell ref="Y9:Y10"/>
    <mergeCell ref="Y11:Y12"/>
    <mergeCell ref="Y13:Y14"/>
    <mergeCell ref="Y1:AB1"/>
  </mergeCells>
  <phoneticPr fontId="3" type="noConversion"/>
  <printOptions horizontalCentered="1"/>
  <pageMargins left="0.59055118110236227" right="0.59055118110236227" top="1.3779527559055118" bottom="0.59055118110236227" header="0.78740157480314965" footer="0.39370078740157483"/>
  <pageSetup paperSize="9" orientation="portrait" r:id="rId1"/>
  <headerFooter>
    <oddHeader>&amp;C&amp;"-,굵게"&amp;24사 진 대 지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3A20-CECC-4507-B26A-EC80999EAEAF}">
  <sheetPr codeName="Sheet2"/>
  <dimension ref="A1:AB34"/>
  <sheetViews>
    <sheetView showGridLines="0" zoomScaleNormal="100" zoomScaleSheetLayoutView="70" workbookViewId="0">
      <selection activeCell="Y1" sqref="Y1:AB1"/>
    </sheetView>
  </sheetViews>
  <sheetFormatPr defaultColWidth="4.375" defaultRowHeight="20.100000000000001" customHeight="1" x14ac:dyDescent="0.3"/>
  <cols>
    <col min="25" max="25" width="6.625" customWidth="1"/>
    <col min="26" max="26" width="0" hidden="1" customWidth="1"/>
    <col min="27" max="27" width="5.5" hidden="1" customWidth="1"/>
    <col min="28" max="28" width="24.625" customWidth="1"/>
  </cols>
  <sheetData>
    <row r="1" spans="1:28" ht="20.100000000000001" customHeight="1" x14ac:dyDescent="0.3">
      <c r="A1" s="12"/>
      <c r="B1" s="28" t="s">
        <v>1</v>
      </c>
      <c r="C1" s="28"/>
      <c r="D1" s="28"/>
      <c r="E1" s="29" t="str">
        <f>공사명</f>
        <v>공사명을 입력하시오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12"/>
      <c r="Y1" s="44" t="s">
        <v>25</v>
      </c>
      <c r="Z1" s="44"/>
      <c r="AA1" s="44"/>
      <c r="AB1" s="44"/>
    </row>
    <row r="2" spans="1:28" ht="20.100000000000001" customHeight="1" x14ac:dyDescent="0.3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  <c r="Y2" s="13" t="s">
        <v>12</v>
      </c>
      <c r="AB2" s="13" t="s">
        <v>11</v>
      </c>
    </row>
    <row r="3" spans="1:28" ht="20.100000000000001" customHeight="1" x14ac:dyDescent="0.3">
      <c r="A3" s="14">
        <f>ROW()</f>
        <v>3</v>
      </c>
      <c r="B3" s="7"/>
      <c r="C3" s="30" t="str">
        <f>IF(VLOOKUP($A3,$AA$3:$AB$34,2,FALSE)="","",VLOOKUP($A3,$AA$3:$AB$34,2,FALSE))</f>
        <v/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2"/>
      <c r="R3" s="8"/>
      <c r="Y3" s="38">
        <v>1</v>
      </c>
      <c r="Z3" s="15">
        <v>17</v>
      </c>
      <c r="AA3" s="15">
        <v>3</v>
      </c>
      <c r="AB3" s="15" t="str">
        <f>IF(공사전!AB3="","",공사전!AB3)</f>
        <v/>
      </c>
    </row>
    <row r="4" spans="1:28" ht="20.100000000000001" customHeight="1" x14ac:dyDescent="0.3">
      <c r="B4" s="7"/>
      <c r="C4" s="33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34"/>
      <c r="R4" s="8"/>
      <c r="Y4" s="38"/>
      <c r="Z4" s="15"/>
      <c r="AA4" s="15">
        <f>AA3+$Z$3</f>
        <v>20</v>
      </c>
      <c r="AB4" s="15"/>
    </row>
    <row r="5" spans="1:28" ht="20.100000000000001" customHeight="1" x14ac:dyDescent="0.3">
      <c r="B5" s="7"/>
      <c r="C5" s="33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34"/>
      <c r="R5" s="8"/>
      <c r="Y5" s="38">
        <v>2</v>
      </c>
      <c r="Z5" s="15"/>
      <c r="AA5" s="15">
        <f t="shared" ref="AA5:AA34" si="0">AA4+$Z$3</f>
        <v>37</v>
      </c>
      <c r="AB5" s="15" t="str">
        <f>IF(공사전!AB4="","",공사전!AB4)</f>
        <v/>
      </c>
    </row>
    <row r="6" spans="1:28" ht="20.100000000000001" customHeight="1" x14ac:dyDescent="0.3">
      <c r="B6" s="7"/>
      <c r="C6" s="33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34"/>
      <c r="R6" s="8"/>
      <c r="Y6" s="38"/>
      <c r="Z6" s="15"/>
      <c r="AA6" s="15">
        <f t="shared" si="0"/>
        <v>54</v>
      </c>
      <c r="AB6" s="15"/>
    </row>
    <row r="7" spans="1:28" ht="20.100000000000001" customHeight="1" x14ac:dyDescent="0.3">
      <c r="B7" s="7"/>
      <c r="C7" s="33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34"/>
      <c r="R7" s="8"/>
      <c r="Y7" s="38">
        <v>3</v>
      </c>
      <c r="Z7" s="15"/>
      <c r="AA7" s="15">
        <f t="shared" si="0"/>
        <v>71</v>
      </c>
      <c r="AB7" s="15" t="str">
        <f>IF(공사전!AB5="","",공사전!AB5)</f>
        <v/>
      </c>
    </row>
    <row r="8" spans="1:28" ht="20.100000000000001" customHeight="1" x14ac:dyDescent="0.3">
      <c r="B8" s="7"/>
      <c r="C8" s="33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34"/>
      <c r="R8" s="8"/>
      <c r="Y8" s="38"/>
      <c r="Z8" s="15"/>
      <c r="AA8" s="15">
        <f t="shared" si="0"/>
        <v>88</v>
      </c>
      <c r="AB8" s="15"/>
    </row>
    <row r="9" spans="1:28" ht="20.100000000000001" customHeight="1" x14ac:dyDescent="0.3">
      <c r="B9" s="7"/>
      <c r="C9" s="33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34"/>
      <c r="R9" s="8"/>
      <c r="Y9" s="38">
        <v>4</v>
      </c>
      <c r="Z9" s="15"/>
      <c r="AA9" s="15">
        <f t="shared" si="0"/>
        <v>105</v>
      </c>
      <c r="AB9" s="15" t="str">
        <f>IF(공사전!AB6="","",공사전!AB6)</f>
        <v/>
      </c>
    </row>
    <row r="10" spans="1:28" ht="20.100000000000001" customHeight="1" x14ac:dyDescent="0.3">
      <c r="B10" s="7"/>
      <c r="C10" s="33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34"/>
      <c r="R10" s="8"/>
      <c r="Y10" s="38"/>
      <c r="Z10" s="15"/>
      <c r="AA10" s="15">
        <f t="shared" si="0"/>
        <v>122</v>
      </c>
      <c r="AB10" s="15"/>
    </row>
    <row r="11" spans="1:28" ht="20.100000000000001" customHeight="1" x14ac:dyDescent="0.3">
      <c r="B11" s="7"/>
      <c r="C11" s="33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34"/>
      <c r="R11" s="8"/>
      <c r="Y11" s="38">
        <v>5</v>
      </c>
      <c r="Z11" s="15"/>
      <c r="AA11" s="15">
        <f t="shared" si="0"/>
        <v>139</v>
      </c>
      <c r="AB11" s="15" t="str">
        <f>IF(공사전!AB7="","",공사전!AB7)</f>
        <v/>
      </c>
    </row>
    <row r="12" spans="1:28" ht="20.100000000000001" customHeight="1" x14ac:dyDescent="0.3">
      <c r="B12" s="7"/>
      <c r="C12" s="33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34"/>
      <c r="R12" s="8"/>
      <c r="Y12" s="38"/>
      <c r="Z12" s="15"/>
      <c r="AA12" s="15">
        <f t="shared" si="0"/>
        <v>156</v>
      </c>
      <c r="AB12" s="15"/>
    </row>
    <row r="13" spans="1:28" ht="20.100000000000001" customHeight="1" x14ac:dyDescent="0.3">
      <c r="B13" s="7"/>
      <c r="C13" s="33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34"/>
      <c r="R13" s="8"/>
      <c r="Y13" s="38">
        <v>6</v>
      </c>
      <c r="Z13" s="15"/>
      <c r="AA13" s="15">
        <f t="shared" si="0"/>
        <v>173</v>
      </c>
      <c r="AB13" s="15" t="str">
        <f>IF(공사전!AB8="","",공사전!AB8)</f>
        <v/>
      </c>
    </row>
    <row r="14" spans="1:28" ht="20.100000000000001" customHeight="1" x14ac:dyDescent="0.3">
      <c r="B14" s="7"/>
      <c r="C14" s="35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8"/>
      <c r="Y14" s="38"/>
      <c r="Z14" s="15"/>
      <c r="AA14" s="15">
        <f t="shared" si="0"/>
        <v>190</v>
      </c>
      <c r="AB14" s="15"/>
    </row>
    <row r="15" spans="1:28" ht="20.100000000000001" customHeight="1" x14ac:dyDescent="0.3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1"/>
      <c r="Y15" s="38">
        <v>7</v>
      </c>
      <c r="Z15" s="15"/>
      <c r="AA15" s="15">
        <f t="shared" si="0"/>
        <v>207</v>
      </c>
      <c r="AB15" s="15" t="str">
        <f>IF(공사전!AB9="","",공사전!AB9)</f>
        <v/>
      </c>
    </row>
    <row r="16" spans="1:28" ht="20.100000000000001" customHeight="1" x14ac:dyDescent="0.3">
      <c r="B16" s="39" t="s">
        <v>3</v>
      </c>
      <c r="C16" s="32"/>
      <c r="D16" s="30" t="s">
        <v>6</v>
      </c>
      <c r="E16" s="31"/>
      <c r="F16" s="31"/>
      <c r="G16" s="31"/>
      <c r="H16" s="31"/>
      <c r="I16" s="31"/>
      <c r="J16" s="31"/>
      <c r="K16" s="31"/>
      <c r="L16" s="32"/>
      <c r="M16" s="40" t="s">
        <v>2</v>
      </c>
      <c r="N16" s="40"/>
      <c r="O16" s="42" t="s">
        <v>5</v>
      </c>
      <c r="P16" s="42"/>
      <c r="Q16" s="42"/>
      <c r="R16" s="42"/>
      <c r="Y16" s="38"/>
      <c r="Z16" s="15"/>
      <c r="AA16" s="15">
        <f t="shared" si="0"/>
        <v>224</v>
      </c>
      <c r="AB16" s="15"/>
    </row>
    <row r="17" spans="1:28" ht="20.100000000000001" customHeight="1" x14ac:dyDescent="0.3">
      <c r="B17" s="35"/>
      <c r="C17" s="37"/>
      <c r="D17" s="35"/>
      <c r="E17" s="36"/>
      <c r="F17" s="36"/>
      <c r="G17" s="36"/>
      <c r="H17" s="36"/>
      <c r="I17" s="36"/>
      <c r="J17" s="36"/>
      <c r="K17" s="36"/>
      <c r="L17" s="37"/>
      <c r="M17" s="41"/>
      <c r="N17" s="41"/>
      <c r="O17" s="43"/>
      <c r="P17" s="43"/>
      <c r="Q17" s="43"/>
      <c r="R17" s="43"/>
      <c r="Y17" s="38">
        <v>8</v>
      </c>
      <c r="Z17" s="15"/>
      <c r="AA17" s="15">
        <f t="shared" si="0"/>
        <v>241</v>
      </c>
      <c r="AB17" s="15" t="str">
        <f>IF(공사전!AB10="","",공사전!AB10)</f>
        <v/>
      </c>
    </row>
    <row r="18" spans="1:28" ht="20.100000000000001" customHeight="1" x14ac:dyDescent="0.3">
      <c r="Y18" s="38"/>
      <c r="Z18" s="15"/>
      <c r="AA18" s="15">
        <f t="shared" si="0"/>
        <v>258</v>
      </c>
      <c r="AB18" s="15"/>
    </row>
    <row r="19" spans="1:28" ht="20.100000000000001" customHeight="1" x14ac:dyDescent="0.3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6"/>
      <c r="Y19" s="38">
        <v>9</v>
      </c>
      <c r="Z19" s="15"/>
      <c r="AA19" s="15">
        <f t="shared" si="0"/>
        <v>275</v>
      </c>
      <c r="AB19" s="15" t="str">
        <f>IF(공사전!AB11="","",공사전!AB11)</f>
        <v/>
      </c>
    </row>
    <row r="20" spans="1:28" ht="20.100000000000001" customHeight="1" x14ac:dyDescent="0.3">
      <c r="A20" s="14">
        <f>ROW()</f>
        <v>20</v>
      </c>
      <c r="B20" s="7"/>
      <c r="C20" s="30" t="str">
        <f>IF(VLOOKUP($A20,$AA$3:$AB$34,2,FALSE)="","",VLOOKUP($A20,$AA$3:$AB$34,2,FALSE))</f>
        <v/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2"/>
      <c r="R20" s="8"/>
      <c r="Y20" s="38"/>
      <c r="Z20" s="15"/>
      <c r="AA20" s="15">
        <f t="shared" si="0"/>
        <v>292</v>
      </c>
      <c r="AB20" s="15"/>
    </row>
    <row r="21" spans="1:28" ht="20.100000000000001" customHeight="1" x14ac:dyDescent="0.3">
      <c r="B21" s="7"/>
      <c r="C21" s="33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34"/>
      <c r="R21" s="8"/>
      <c r="Y21" s="38">
        <v>10</v>
      </c>
      <c r="Z21" s="15"/>
      <c r="AA21" s="15">
        <f t="shared" si="0"/>
        <v>309</v>
      </c>
      <c r="AB21" s="15" t="str">
        <f>IF(공사전!AB12="","",공사전!AB12)</f>
        <v/>
      </c>
    </row>
    <row r="22" spans="1:28" ht="20.100000000000001" customHeight="1" x14ac:dyDescent="0.3">
      <c r="B22" s="7"/>
      <c r="C22" s="33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34"/>
      <c r="R22" s="8"/>
      <c r="Y22" s="38"/>
      <c r="Z22" s="15"/>
      <c r="AA22" s="15">
        <f t="shared" si="0"/>
        <v>326</v>
      </c>
      <c r="AB22" s="15"/>
    </row>
    <row r="23" spans="1:28" ht="20.100000000000001" customHeight="1" x14ac:dyDescent="0.3">
      <c r="B23" s="7"/>
      <c r="C23" s="33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34"/>
      <c r="R23" s="8"/>
      <c r="Y23" s="38">
        <v>11</v>
      </c>
      <c r="Z23" s="15"/>
      <c r="AA23" s="15">
        <f t="shared" si="0"/>
        <v>343</v>
      </c>
      <c r="AB23" s="15"/>
    </row>
    <row r="24" spans="1:28" ht="20.100000000000001" customHeight="1" x14ac:dyDescent="0.3">
      <c r="B24" s="7"/>
      <c r="C24" s="33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34"/>
      <c r="R24" s="8"/>
      <c r="Y24" s="38"/>
      <c r="Z24" s="15"/>
      <c r="AA24" s="15">
        <f t="shared" si="0"/>
        <v>360</v>
      </c>
      <c r="AB24" s="15"/>
    </row>
    <row r="25" spans="1:28" ht="20.100000000000001" customHeight="1" x14ac:dyDescent="0.3">
      <c r="B25" s="7"/>
      <c r="C25" s="33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34"/>
      <c r="R25" s="8"/>
      <c r="Y25" s="38">
        <v>12</v>
      </c>
      <c r="Z25" s="15"/>
      <c r="AA25" s="15">
        <f t="shared" si="0"/>
        <v>377</v>
      </c>
      <c r="AB25" s="15"/>
    </row>
    <row r="26" spans="1:28" ht="20.100000000000001" customHeight="1" x14ac:dyDescent="0.3">
      <c r="B26" s="7"/>
      <c r="C26" s="33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34"/>
      <c r="R26" s="8"/>
      <c r="Y26" s="38"/>
      <c r="Z26" s="15"/>
      <c r="AA26" s="15">
        <f t="shared" si="0"/>
        <v>394</v>
      </c>
      <c r="AB26" s="15"/>
    </row>
    <row r="27" spans="1:28" ht="20.100000000000001" customHeight="1" x14ac:dyDescent="0.3">
      <c r="B27" s="7"/>
      <c r="C27" s="33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34"/>
      <c r="R27" s="8"/>
      <c r="Y27" s="38">
        <v>13</v>
      </c>
      <c r="Z27" s="15"/>
      <c r="AA27" s="15">
        <f t="shared" si="0"/>
        <v>411</v>
      </c>
      <c r="AB27" s="15"/>
    </row>
    <row r="28" spans="1:28" ht="20.100000000000001" customHeight="1" x14ac:dyDescent="0.3">
      <c r="B28" s="7"/>
      <c r="C28" s="33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34"/>
      <c r="R28" s="8"/>
      <c r="Y28" s="38"/>
      <c r="Z28" s="15"/>
      <c r="AA28" s="15">
        <f t="shared" si="0"/>
        <v>428</v>
      </c>
      <c r="AB28" s="15"/>
    </row>
    <row r="29" spans="1:28" ht="20.100000000000001" customHeight="1" x14ac:dyDescent="0.3">
      <c r="B29" s="7"/>
      <c r="C29" s="33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34"/>
      <c r="R29" s="8"/>
      <c r="Y29" s="38">
        <v>14</v>
      </c>
      <c r="Z29" s="15"/>
      <c r="AA29" s="15">
        <f t="shared" si="0"/>
        <v>445</v>
      </c>
      <c r="AB29" s="15"/>
    </row>
    <row r="30" spans="1:28" ht="20.100000000000001" customHeight="1" x14ac:dyDescent="0.3">
      <c r="B30" s="7"/>
      <c r="C30" s="33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34"/>
      <c r="R30" s="8"/>
      <c r="Y30" s="38"/>
      <c r="Z30" s="15"/>
      <c r="AA30" s="15">
        <f t="shared" si="0"/>
        <v>462</v>
      </c>
      <c r="AB30" s="15"/>
    </row>
    <row r="31" spans="1:28" ht="20.100000000000001" customHeight="1" x14ac:dyDescent="0.3">
      <c r="B31" s="7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8"/>
      <c r="Y31" s="38">
        <v>15</v>
      </c>
      <c r="Z31" s="15"/>
      <c r="AA31" s="15">
        <f t="shared" si="0"/>
        <v>479</v>
      </c>
      <c r="AB31" s="15"/>
    </row>
    <row r="32" spans="1:28" ht="20.100000000000001" customHeight="1" x14ac:dyDescent="0.3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1"/>
      <c r="Y32" s="38"/>
      <c r="Z32" s="15"/>
      <c r="AA32" s="15">
        <f t="shared" si="0"/>
        <v>496</v>
      </c>
      <c r="AB32" s="15"/>
    </row>
    <row r="33" spans="2:28" ht="20.100000000000001" customHeight="1" x14ac:dyDescent="0.3">
      <c r="B33" s="39" t="s">
        <v>3</v>
      </c>
      <c r="C33" s="32"/>
      <c r="D33" s="30" t="s">
        <v>7</v>
      </c>
      <c r="E33" s="31"/>
      <c r="F33" s="31"/>
      <c r="G33" s="31"/>
      <c r="H33" s="31"/>
      <c r="I33" s="31"/>
      <c r="J33" s="31"/>
      <c r="K33" s="31"/>
      <c r="L33" s="32"/>
      <c r="M33" s="40" t="s">
        <v>2</v>
      </c>
      <c r="N33" s="40"/>
      <c r="O33" s="42" t="s">
        <v>4</v>
      </c>
      <c r="P33" s="42"/>
      <c r="Q33" s="42"/>
      <c r="R33" s="42"/>
      <c r="Y33" s="38">
        <v>16</v>
      </c>
      <c r="Z33" s="15"/>
      <c r="AA33" s="15">
        <f t="shared" si="0"/>
        <v>513</v>
      </c>
      <c r="AB33" s="15"/>
    </row>
    <row r="34" spans="2:28" ht="20.100000000000001" customHeight="1" x14ac:dyDescent="0.3">
      <c r="B34" s="35"/>
      <c r="C34" s="37"/>
      <c r="D34" s="35"/>
      <c r="E34" s="36"/>
      <c r="F34" s="36"/>
      <c r="G34" s="36"/>
      <c r="H34" s="36"/>
      <c r="I34" s="36"/>
      <c r="J34" s="36"/>
      <c r="K34" s="36"/>
      <c r="L34" s="37"/>
      <c r="M34" s="41"/>
      <c r="N34" s="41"/>
      <c r="O34" s="43"/>
      <c r="P34" s="43"/>
      <c r="Q34" s="43"/>
      <c r="R34" s="43"/>
      <c r="Y34" s="38"/>
      <c r="Z34" s="15"/>
      <c r="AA34" s="15">
        <f t="shared" si="0"/>
        <v>530</v>
      </c>
      <c r="AB34" s="15"/>
    </row>
  </sheetData>
  <mergeCells count="29">
    <mergeCell ref="Y1:AB1"/>
    <mergeCell ref="M33:N34"/>
    <mergeCell ref="O33:R34"/>
    <mergeCell ref="B1:D1"/>
    <mergeCell ref="E1:R1"/>
    <mergeCell ref="B16:C17"/>
    <mergeCell ref="D16:L17"/>
    <mergeCell ref="B33:C34"/>
    <mergeCell ref="D33:L34"/>
    <mergeCell ref="C3:Q14"/>
    <mergeCell ref="C20:Q31"/>
    <mergeCell ref="M16:N17"/>
    <mergeCell ref="O16:R17"/>
    <mergeCell ref="Y3:Y4"/>
    <mergeCell ref="Y5:Y6"/>
    <mergeCell ref="Y7:Y8"/>
    <mergeCell ref="Y9:Y10"/>
    <mergeCell ref="Y11:Y12"/>
    <mergeCell ref="Y13:Y14"/>
    <mergeCell ref="Y27:Y28"/>
    <mergeCell ref="Y29:Y30"/>
    <mergeCell ref="Y31:Y32"/>
    <mergeCell ref="Y33:Y34"/>
    <mergeCell ref="Y15:Y16"/>
    <mergeCell ref="Y17:Y18"/>
    <mergeCell ref="Y19:Y20"/>
    <mergeCell ref="Y21:Y22"/>
    <mergeCell ref="Y23:Y24"/>
    <mergeCell ref="Y25:Y26"/>
  </mergeCells>
  <phoneticPr fontId="1" type="noConversion"/>
  <printOptions horizontalCentered="1"/>
  <pageMargins left="0.59055118110236227" right="0.59055118110236227" top="1.3779527559055118" bottom="0.59055118110236227" header="0.78740157480314965" footer="0.39370078740157483"/>
  <pageSetup paperSize="9" orientation="portrait" r:id="rId1"/>
  <headerFooter>
    <oddHeader>&amp;C&amp;"-,굵게"&amp;24사 진 대 지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6149-8103-4298-9E3C-F90EE3B87DFC}">
  <sheetPr codeName="Sheet3"/>
  <dimension ref="A1:AB34"/>
  <sheetViews>
    <sheetView showGridLines="0" zoomScaleNormal="100" zoomScaleSheetLayoutView="70" workbookViewId="0">
      <selection activeCell="Y1" sqref="Y1:AB1"/>
    </sheetView>
  </sheetViews>
  <sheetFormatPr defaultColWidth="4.375" defaultRowHeight="20.100000000000001" customHeight="1" x14ac:dyDescent="0.3"/>
  <cols>
    <col min="25" max="25" width="6.625" customWidth="1"/>
    <col min="26" max="26" width="0" hidden="1" customWidth="1"/>
    <col min="27" max="27" width="5.5" hidden="1" customWidth="1"/>
    <col min="28" max="28" width="24.625" customWidth="1"/>
  </cols>
  <sheetData>
    <row r="1" spans="1:28" ht="20.100000000000001" customHeight="1" x14ac:dyDescent="0.3">
      <c r="A1" s="12"/>
      <c r="B1" s="28" t="s">
        <v>1</v>
      </c>
      <c r="C1" s="28"/>
      <c r="D1" s="28"/>
      <c r="E1" s="29" t="str">
        <f>공사명</f>
        <v>공사명을 입력하시오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12"/>
      <c r="Y1" s="44" t="s">
        <v>25</v>
      </c>
      <c r="Z1" s="44"/>
      <c r="AA1" s="44"/>
      <c r="AB1" s="44"/>
    </row>
    <row r="2" spans="1:28" ht="20.100000000000001" customHeight="1" x14ac:dyDescent="0.3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  <c r="Y2" s="13" t="s">
        <v>12</v>
      </c>
      <c r="AB2" s="13" t="s">
        <v>11</v>
      </c>
    </row>
    <row r="3" spans="1:28" ht="20.100000000000001" customHeight="1" x14ac:dyDescent="0.3">
      <c r="A3" s="14">
        <f>ROW()</f>
        <v>3</v>
      </c>
      <c r="B3" s="7"/>
      <c r="C3" s="30" t="str">
        <f>IF(VLOOKUP($A3,$AA$3:$AB$34,2,FALSE)="","",VLOOKUP($A3,$AA$3:$AB$34,2,FALSE))</f>
        <v/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2"/>
      <c r="R3" s="8"/>
      <c r="Y3" s="38">
        <v>1</v>
      </c>
      <c r="Z3" s="15">
        <v>17</v>
      </c>
      <c r="AA3" s="15">
        <v>3</v>
      </c>
      <c r="AB3" s="15"/>
    </row>
    <row r="4" spans="1:28" ht="20.100000000000001" customHeight="1" x14ac:dyDescent="0.3">
      <c r="B4" s="7"/>
      <c r="C4" s="33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34"/>
      <c r="R4" s="8"/>
      <c r="Y4" s="38"/>
      <c r="Z4" s="15"/>
      <c r="AA4" s="15">
        <f>AA3+$Z$3</f>
        <v>20</v>
      </c>
      <c r="AB4" s="15"/>
    </row>
    <row r="5" spans="1:28" ht="20.100000000000001" customHeight="1" x14ac:dyDescent="0.3">
      <c r="B5" s="7"/>
      <c r="C5" s="33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34"/>
      <c r="R5" s="8"/>
      <c r="Y5" s="38">
        <v>2</v>
      </c>
      <c r="Z5" s="15"/>
      <c r="AA5" s="15">
        <f t="shared" ref="AA5:AA34" si="0">AA4+$Z$3</f>
        <v>37</v>
      </c>
      <c r="AB5" s="15"/>
    </row>
    <row r="6" spans="1:28" ht="20.100000000000001" customHeight="1" x14ac:dyDescent="0.3">
      <c r="B6" s="7"/>
      <c r="C6" s="33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34"/>
      <c r="R6" s="8"/>
      <c r="Y6" s="38"/>
      <c r="Z6" s="15"/>
      <c r="AA6" s="15">
        <f t="shared" si="0"/>
        <v>54</v>
      </c>
      <c r="AB6" s="15"/>
    </row>
    <row r="7" spans="1:28" ht="20.100000000000001" customHeight="1" x14ac:dyDescent="0.3">
      <c r="B7" s="7"/>
      <c r="C7" s="33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34"/>
      <c r="R7" s="8"/>
      <c r="Y7" s="38">
        <v>3</v>
      </c>
      <c r="Z7" s="15"/>
      <c r="AA7" s="15">
        <f t="shared" si="0"/>
        <v>71</v>
      </c>
      <c r="AB7" s="15"/>
    </row>
    <row r="8" spans="1:28" ht="20.100000000000001" customHeight="1" x14ac:dyDescent="0.3">
      <c r="B8" s="7"/>
      <c r="C8" s="33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34"/>
      <c r="R8" s="8"/>
      <c r="Y8" s="38"/>
      <c r="Z8" s="15"/>
      <c r="AA8" s="15">
        <f t="shared" si="0"/>
        <v>88</v>
      </c>
      <c r="AB8" s="15"/>
    </row>
    <row r="9" spans="1:28" ht="20.100000000000001" customHeight="1" x14ac:dyDescent="0.3">
      <c r="B9" s="7"/>
      <c r="C9" s="33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34"/>
      <c r="R9" s="8"/>
      <c r="Y9" s="38">
        <v>4</v>
      </c>
      <c r="Z9" s="15"/>
      <c r="AA9" s="15">
        <f t="shared" si="0"/>
        <v>105</v>
      </c>
      <c r="AB9" s="15"/>
    </row>
    <row r="10" spans="1:28" ht="20.100000000000001" customHeight="1" x14ac:dyDescent="0.3">
      <c r="B10" s="7"/>
      <c r="C10" s="33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34"/>
      <c r="R10" s="8"/>
      <c r="Y10" s="38"/>
      <c r="Z10" s="15"/>
      <c r="AA10" s="15">
        <f t="shared" si="0"/>
        <v>122</v>
      </c>
      <c r="AB10" s="15"/>
    </row>
    <row r="11" spans="1:28" ht="20.100000000000001" customHeight="1" x14ac:dyDescent="0.3">
      <c r="B11" s="7"/>
      <c r="C11" s="33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34"/>
      <c r="R11" s="8"/>
      <c r="Y11" s="38">
        <v>5</v>
      </c>
      <c r="Z11" s="15"/>
      <c r="AA11" s="15">
        <f t="shared" si="0"/>
        <v>139</v>
      </c>
      <c r="AB11" s="15"/>
    </row>
    <row r="12" spans="1:28" ht="20.100000000000001" customHeight="1" x14ac:dyDescent="0.3">
      <c r="B12" s="7"/>
      <c r="C12" s="33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34"/>
      <c r="R12" s="8"/>
      <c r="Y12" s="38"/>
      <c r="Z12" s="15"/>
      <c r="AA12" s="15">
        <f t="shared" si="0"/>
        <v>156</v>
      </c>
      <c r="AB12" s="15"/>
    </row>
    <row r="13" spans="1:28" ht="20.100000000000001" customHeight="1" x14ac:dyDescent="0.3">
      <c r="B13" s="7"/>
      <c r="C13" s="33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34"/>
      <c r="R13" s="8"/>
      <c r="Y13" s="38">
        <v>6</v>
      </c>
      <c r="Z13" s="15"/>
      <c r="AA13" s="15">
        <f t="shared" si="0"/>
        <v>173</v>
      </c>
      <c r="AB13" s="15"/>
    </row>
    <row r="14" spans="1:28" ht="20.100000000000001" customHeight="1" x14ac:dyDescent="0.3">
      <c r="B14" s="7"/>
      <c r="C14" s="35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8"/>
      <c r="Y14" s="38"/>
      <c r="Z14" s="15"/>
      <c r="AA14" s="15">
        <f t="shared" si="0"/>
        <v>190</v>
      </c>
      <c r="AB14" s="15"/>
    </row>
    <row r="15" spans="1:28" ht="20.100000000000001" customHeight="1" x14ac:dyDescent="0.3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1"/>
      <c r="Y15" s="38">
        <v>7</v>
      </c>
      <c r="Z15" s="15"/>
      <c r="AA15" s="15">
        <f t="shared" si="0"/>
        <v>207</v>
      </c>
      <c r="AB15" s="15"/>
    </row>
    <row r="16" spans="1:28" ht="20.100000000000001" customHeight="1" x14ac:dyDescent="0.3">
      <c r="B16" s="39" t="s">
        <v>3</v>
      </c>
      <c r="C16" s="32"/>
      <c r="D16" s="30" t="s">
        <v>8</v>
      </c>
      <c r="E16" s="31"/>
      <c r="F16" s="31"/>
      <c r="G16" s="31"/>
      <c r="H16" s="31"/>
      <c r="I16" s="31"/>
      <c r="J16" s="31"/>
      <c r="K16" s="31"/>
      <c r="L16" s="32"/>
      <c r="M16" s="40" t="s">
        <v>2</v>
      </c>
      <c r="N16" s="40"/>
      <c r="O16" s="42" t="s">
        <v>4</v>
      </c>
      <c r="P16" s="42"/>
      <c r="Q16" s="42"/>
      <c r="R16" s="42"/>
      <c r="Y16" s="38"/>
      <c r="Z16" s="15"/>
      <c r="AA16" s="15">
        <f t="shared" si="0"/>
        <v>224</v>
      </c>
      <c r="AB16" s="15"/>
    </row>
    <row r="17" spans="1:28" ht="20.100000000000001" customHeight="1" x14ac:dyDescent="0.3">
      <c r="B17" s="35"/>
      <c r="C17" s="37"/>
      <c r="D17" s="35"/>
      <c r="E17" s="36"/>
      <c r="F17" s="36"/>
      <c r="G17" s="36"/>
      <c r="H17" s="36"/>
      <c r="I17" s="36"/>
      <c r="J17" s="36"/>
      <c r="K17" s="36"/>
      <c r="L17" s="37"/>
      <c r="M17" s="41"/>
      <c r="N17" s="41"/>
      <c r="O17" s="43"/>
      <c r="P17" s="43"/>
      <c r="Q17" s="43"/>
      <c r="R17" s="43"/>
      <c r="Y17" s="38">
        <v>8</v>
      </c>
      <c r="Z17" s="15"/>
      <c r="AA17" s="15">
        <f t="shared" si="0"/>
        <v>241</v>
      </c>
      <c r="AB17" s="15"/>
    </row>
    <row r="18" spans="1:28" ht="20.100000000000001" customHeight="1" x14ac:dyDescent="0.3">
      <c r="Y18" s="38"/>
      <c r="Z18" s="15"/>
      <c r="AA18" s="15">
        <f t="shared" si="0"/>
        <v>258</v>
      </c>
      <c r="AB18" s="15"/>
    </row>
    <row r="19" spans="1:28" ht="20.100000000000001" customHeight="1" x14ac:dyDescent="0.3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6"/>
      <c r="Y19" s="38">
        <v>9</v>
      </c>
      <c r="Z19" s="15"/>
      <c r="AA19" s="15">
        <f t="shared" si="0"/>
        <v>275</v>
      </c>
      <c r="AB19" s="15"/>
    </row>
    <row r="20" spans="1:28" ht="20.100000000000001" customHeight="1" x14ac:dyDescent="0.3">
      <c r="A20" s="14">
        <f>ROW()</f>
        <v>20</v>
      </c>
      <c r="B20" s="7"/>
      <c r="C20" s="30" t="str">
        <f>IF(VLOOKUP($A20,$AA$3:$AB$34,2,FALSE)="","",VLOOKUP($A20,$AA$3:$AB$34,2,FALSE))</f>
        <v/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2"/>
      <c r="R20" s="8"/>
      <c r="Y20" s="38"/>
      <c r="Z20" s="15"/>
      <c r="AA20" s="15">
        <f t="shared" si="0"/>
        <v>292</v>
      </c>
      <c r="AB20" s="15"/>
    </row>
    <row r="21" spans="1:28" ht="20.100000000000001" customHeight="1" x14ac:dyDescent="0.3">
      <c r="B21" s="7"/>
      <c r="C21" s="33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34"/>
      <c r="R21" s="8"/>
      <c r="Y21" s="38">
        <v>10</v>
      </c>
      <c r="Z21" s="15"/>
      <c r="AA21" s="15">
        <f t="shared" si="0"/>
        <v>309</v>
      </c>
      <c r="AB21" s="15"/>
    </row>
    <row r="22" spans="1:28" ht="20.100000000000001" customHeight="1" x14ac:dyDescent="0.3">
      <c r="B22" s="7"/>
      <c r="C22" s="33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34"/>
      <c r="R22" s="8"/>
      <c r="Y22" s="38"/>
      <c r="Z22" s="15"/>
      <c r="AA22" s="15">
        <f t="shared" si="0"/>
        <v>326</v>
      </c>
      <c r="AB22" s="15"/>
    </row>
    <row r="23" spans="1:28" ht="20.100000000000001" customHeight="1" x14ac:dyDescent="0.3">
      <c r="B23" s="7"/>
      <c r="C23" s="33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34"/>
      <c r="R23" s="8"/>
      <c r="Y23" s="38">
        <v>11</v>
      </c>
      <c r="Z23" s="15"/>
      <c r="AA23" s="15">
        <f t="shared" si="0"/>
        <v>343</v>
      </c>
      <c r="AB23" s="15"/>
    </row>
    <row r="24" spans="1:28" ht="20.100000000000001" customHeight="1" x14ac:dyDescent="0.3">
      <c r="B24" s="7"/>
      <c r="C24" s="33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34"/>
      <c r="R24" s="8"/>
      <c r="Y24" s="38"/>
      <c r="Z24" s="15"/>
      <c r="AA24" s="15">
        <f t="shared" si="0"/>
        <v>360</v>
      </c>
      <c r="AB24" s="15"/>
    </row>
    <row r="25" spans="1:28" ht="20.100000000000001" customHeight="1" x14ac:dyDescent="0.3">
      <c r="B25" s="7"/>
      <c r="C25" s="33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34"/>
      <c r="R25" s="8"/>
      <c r="Y25" s="38">
        <v>12</v>
      </c>
      <c r="Z25" s="15"/>
      <c r="AA25" s="15">
        <f t="shared" si="0"/>
        <v>377</v>
      </c>
      <c r="AB25" s="15"/>
    </row>
    <row r="26" spans="1:28" ht="20.100000000000001" customHeight="1" x14ac:dyDescent="0.3">
      <c r="B26" s="7"/>
      <c r="C26" s="33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34"/>
      <c r="R26" s="8"/>
      <c r="Y26" s="38"/>
      <c r="Z26" s="15"/>
      <c r="AA26" s="15">
        <f t="shared" si="0"/>
        <v>394</v>
      </c>
      <c r="AB26" s="15"/>
    </row>
    <row r="27" spans="1:28" ht="20.100000000000001" customHeight="1" x14ac:dyDescent="0.3">
      <c r="B27" s="7"/>
      <c r="C27" s="33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34"/>
      <c r="R27" s="8"/>
      <c r="Y27" s="38">
        <v>13</v>
      </c>
      <c r="Z27" s="15"/>
      <c r="AA27" s="15">
        <f t="shared" si="0"/>
        <v>411</v>
      </c>
      <c r="AB27" s="15"/>
    </row>
    <row r="28" spans="1:28" ht="20.100000000000001" customHeight="1" x14ac:dyDescent="0.3">
      <c r="B28" s="7"/>
      <c r="C28" s="33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34"/>
      <c r="R28" s="8"/>
      <c r="Y28" s="38"/>
      <c r="Z28" s="15"/>
      <c r="AA28" s="15">
        <f t="shared" si="0"/>
        <v>428</v>
      </c>
      <c r="AB28" s="15"/>
    </row>
    <row r="29" spans="1:28" ht="20.100000000000001" customHeight="1" x14ac:dyDescent="0.3">
      <c r="B29" s="7"/>
      <c r="C29" s="33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34"/>
      <c r="R29" s="8"/>
      <c r="Y29" s="38">
        <v>14</v>
      </c>
      <c r="Z29" s="15"/>
      <c r="AA29" s="15">
        <f t="shared" si="0"/>
        <v>445</v>
      </c>
      <c r="AB29" s="15"/>
    </row>
    <row r="30" spans="1:28" ht="20.100000000000001" customHeight="1" x14ac:dyDescent="0.3">
      <c r="B30" s="7"/>
      <c r="C30" s="33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34"/>
      <c r="R30" s="8"/>
      <c r="Y30" s="38"/>
      <c r="Z30" s="15"/>
      <c r="AA30" s="15">
        <f t="shared" si="0"/>
        <v>462</v>
      </c>
      <c r="AB30" s="15"/>
    </row>
    <row r="31" spans="1:28" ht="20.100000000000001" customHeight="1" x14ac:dyDescent="0.3">
      <c r="B31" s="7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8"/>
      <c r="Y31" s="38">
        <v>15</v>
      </c>
      <c r="Z31" s="15"/>
      <c r="AA31" s="15">
        <f t="shared" si="0"/>
        <v>479</v>
      </c>
      <c r="AB31" s="15"/>
    </row>
    <row r="32" spans="1:28" ht="20.100000000000001" customHeight="1" x14ac:dyDescent="0.3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1"/>
      <c r="Y32" s="38"/>
      <c r="Z32" s="15"/>
      <c r="AA32" s="15">
        <f t="shared" si="0"/>
        <v>496</v>
      </c>
      <c r="AB32" s="15"/>
    </row>
    <row r="33" spans="2:28" ht="20.100000000000001" customHeight="1" x14ac:dyDescent="0.3">
      <c r="B33" s="39" t="s">
        <v>3</v>
      </c>
      <c r="C33" s="32"/>
      <c r="D33" s="30" t="s">
        <v>8</v>
      </c>
      <c r="E33" s="31"/>
      <c r="F33" s="31"/>
      <c r="G33" s="31"/>
      <c r="H33" s="31"/>
      <c r="I33" s="31"/>
      <c r="J33" s="31"/>
      <c r="K33" s="31"/>
      <c r="L33" s="32"/>
      <c r="M33" s="40" t="s">
        <v>2</v>
      </c>
      <c r="N33" s="40"/>
      <c r="O33" s="42" t="s">
        <v>4</v>
      </c>
      <c r="P33" s="42"/>
      <c r="Q33" s="42"/>
      <c r="R33" s="42"/>
      <c r="Y33" s="38">
        <v>16</v>
      </c>
      <c r="Z33" s="15"/>
      <c r="AA33" s="15">
        <f t="shared" si="0"/>
        <v>513</v>
      </c>
      <c r="AB33" s="15"/>
    </row>
    <row r="34" spans="2:28" ht="20.100000000000001" customHeight="1" x14ac:dyDescent="0.3">
      <c r="B34" s="35"/>
      <c r="C34" s="37"/>
      <c r="D34" s="35"/>
      <c r="E34" s="36"/>
      <c r="F34" s="36"/>
      <c r="G34" s="36"/>
      <c r="H34" s="36"/>
      <c r="I34" s="36"/>
      <c r="J34" s="36"/>
      <c r="K34" s="36"/>
      <c r="L34" s="37"/>
      <c r="M34" s="41"/>
      <c r="N34" s="41"/>
      <c r="O34" s="43"/>
      <c r="P34" s="43"/>
      <c r="Q34" s="43"/>
      <c r="R34" s="43"/>
      <c r="Y34" s="38"/>
      <c r="Z34" s="15"/>
      <c r="AA34" s="15">
        <f t="shared" si="0"/>
        <v>530</v>
      </c>
      <c r="AB34" s="15"/>
    </row>
  </sheetData>
  <mergeCells count="29">
    <mergeCell ref="Y1:AB1"/>
    <mergeCell ref="D33:L34"/>
    <mergeCell ref="M33:N34"/>
    <mergeCell ref="O33:R34"/>
    <mergeCell ref="B1:D1"/>
    <mergeCell ref="E1:R1"/>
    <mergeCell ref="C3:Q14"/>
    <mergeCell ref="B16:C17"/>
    <mergeCell ref="D16:L17"/>
    <mergeCell ref="M16:N17"/>
    <mergeCell ref="O16:R17"/>
    <mergeCell ref="C20:Q31"/>
    <mergeCell ref="B33:C34"/>
    <mergeCell ref="Y3:Y4"/>
    <mergeCell ref="Y5:Y6"/>
    <mergeCell ref="Y7:Y8"/>
    <mergeCell ref="Y9:Y10"/>
    <mergeCell ref="Y11:Y12"/>
    <mergeCell ref="Y13:Y14"/>
    <mergeCell ref="Y15:Y16"/>
    <mergeCell ref="Y17:Y18"/>
    <mergeCell ref="Y31:Y32"/>
    <mergeCell ref="Y33:Y34"/>
    <mergeCell ref="Y19:Y20"/>
    <mergeCell ref="Y21:Y22"/>
    <mergeCell ref="Y23:Y24"/>
    <mergeCell ref="Y25:Y26"/>
    <mergeCell ref="Y27:Y28"/>
    <mergeCell ref="Y29:Y30"/>
  </mergeCells>
  <phoneticPr fontId="2" type="noConversion"/>
  <printOptions horizontalCentered="1"/>
  <pageMargins left="0.59055118110236227" right="0.59055118110236227" top="1.3779527559055118" bottom="0.59055118110236227" header="0.78740157480314965" footer="0.39370078740157483"/>
  <pageSetup paperSize="9" orientation="portrait" r:id="rId1"/>
  <headerFooter>
    <oddHeader>&amp;C&amp;"-,굵게"&amp;24사 진 대 지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001D-567A-4B67-A04E-ED7F9F63D278}">
  <sheetPr codeName="Sheet4"/>
  <dimension ref="A1:AB34"/>
  <sheetViews>
    <sheetView showGridLines="0" zoomScaleNormal="100" zoomScaleSheetLayoutView="70" workbookViewId="0">
      <selection activeCell="Y1" sqref="Y1:AB1"/>
    </sheetView>
  </sheetViews>
  <sheetFormatPr defaultColWidth="4.375" defaultRowHeight="20.100000000000001" customHeight="1" x14ac:dyDescent="0.3"/>
  <cols>
    <col min="25" max="25" width="6.625" customWidth="1"/>
    <col min="26" max="26" width="0" hidden="1" customWidth="1"/>
    <col min="27" max="27" width="5.5" hidden="1" customWidth="1"/>
    <col min="28" max="28" width="24.625" customWidth="1"/>
  </cols>
  <sheetData>
    <row r="1" spans="1:28" ht="20.100000000000001" customHeight="1" x14ac:dyDescent="0.3">
      <c r="A1" s="12"/>
      <c r="B1" s="28" t="s">
        <v>1</v>
      </c>
      <c r="C1" s="28"/>
      <c r="D1" s="28"/>
      <c r="E1" s="29" t="str">
        <f>공사명</f>
        <v>공사명을 입력하시오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12"/>
      <c r="Y1" s="44" t="s">
        <v>25</v>
      </c>
      <c r="Z1" s="44"/>
      <c r="AA1" s="44"/>
      <c r="AB1" s="44"/>
    </row>
    <row r="2" spans="1:28" ht="20.100000000000001" customHeight="1" x14ac:dyDescent="0.3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  <c r="Y2" s="13" t="s">
        <v>12</v>
      </c>
      <c r="AB2" s="13" t="s">
        <v>11</v>
      </c>
    </row>
    <row r="3" spans="1:28" ht="20.100000000000001" customHeight="1" x14ac:dyDescent="0.3">
      <c r="A3" s="14">
        <f>ROW()</f>
        <v>3</v>
      </c>
      <c r="B3" s="7"/>
      <c r="C3" s="30" t="str">
        <f>IF(VLOOKUP($A3,$AA$3:$AB$34,2,FALSE)="","",VLOOKUP($A3,$AA$3:$AB$34,2,FALSE))</f>
        <v/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2"/>
      <c r="R3" s="8"/>
      <c r="Y3" s="38">
        <v>1</v>
      </c>
      <c r="Z3" s="15">
        <v>17</v>
      </c>
      <c r="AA3" s="15">
        <v>3</v>
      </c>
      <c r="AB3" s="15"/>
    </row>
    <row r="4" spans="1:28" ht="20.100000000000001" customHeight="1" x14ac:dyDescent="0.3">
      <c r="B4" s="7"/>
      <c r="C4" s="33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34"/>
      <c r="R4" s="8"/>
      <c r="Y4" s="38"/>
      <c r="Z4" s="15"/>
      <c r="AA4" s="15">
        <f>AA3+$Z$3</f>
        <v>20</v>
      </c>
      <c r="AB4" s="15"/>
    </row>
    <row r="5" spans="1:28" ht="20.100000000000001" customHeight="1" x14ac:dyDescent="0.3">
      <c r="B5" s="7"/>
      <c r="C5" s="33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34"/>
      <c r="R5" s="8"/>
      <c r="Y5" s="38">
        <v>2</v>
      </c>
      <c r="Z5" s="15"/>
      <c r="AA5" s="15">
        <f t="shared" ref="AA5:AA34" si="0">AA4+$Z$3</f>
        <v>37</v>
      </c>
      <c r="AB5" s="15"/>
    </row>
    <row r="6" spans="1:28" ht="20.100000000000001" customHeight="1" x14ac:dyDescent="0.3">
      <c r="B6" s="7"/>
      <c r="C6" s="33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34"/>
      <c r="R6" s="8"/>
      <c r="Y6" s="38"/>
      <c r="Z6" s="15"/>
      <c r="AA6" s="15">
        <f t="shared" si="0"/>
        <v>54</v>
      </c>
      <c r="AB6" s="15"/>
    </row>
    <row r="7" spans="1:28" ht="20.100000000000001" customHeight="1" x14ac:dyDescent="0.3">
      <c r="B7" s="7"/>
      <c r="C7" s="33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34"/>
      <c r="R7" s="8"/>
      <c r="Y7" s="38">
        <v>3</v>
      </c>
      <c r="Z7" s="15"/>
      <c r="AA7" s="15">
        <f t="shared" si="0"/>
        <v>71</v>
      </c>
      <c r="AB7" s="15"/>
    </row>
    <row r="8" spans="1:28" ht="20.100000000000001" customHeight="1" x14ac:dyDescent="0.3">
      <c r="B8" s="7"/>
      <c r="C8" s="33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34"/>
      <c r="R8" s="8"/>
      <c r="Y8" s="38"/>
      <c r="Z8" s="15"/>
      <c r="AA8" s="15">
        <f t="shared" si="0"/>
        <v>88</v>
      </c>
      <c r="AB8" s="15"/>
    </row>
    <row r="9" spans="1:28" ht="20.100000000000001" customHeight="1" x14ac:dyDescent="0.3">
      <c r="B9" s="7"/>
      <c r="C9" s="33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34"/>
      <c r="R9" s="8"/>
      <c r="Y9" s="38">
        <v>4</v>
      </c>
      <c r="Z9" s="15"/>
      <c r="AA9" s="15">
        <f t="shared" si="0"/>
        <v>105</v>
      </c>
      <c r="AB9" s="15"/>
    </row>
    <row r="10" spans="1:28" ht="20.100000000000001" customHeight="1" x14ac:dyDescent="0.3">
      <c r="B10" s="7"/>
      <c r="C10" s="33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34"/>
      <c r="R10" s="8"/>
      <c r="Y10" s="38"/>
      <c r="Z10" s="15"/>
      <c r="AA10" s="15">
        <f t="shared" si="0"/>
        <v>122</v>
      </c>
      <c r="AB10" s="15"/>
    </row>
    <row r="11" spans="1:28" ht="20.100000000000001" customHeight="1" x14ac:dyDescent="0.3">
      <c r="B11" s="7"/>
      <c r="C11" s="33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34"/>
      <c r="R11" s="8"/>
      <c r="Y11" s="38">
        <v>5</v>
      </c>
      <c r="Z11" s="15"/>
      <c r="AA11" s="15">
        <f t="shared" si="0"/>
        <v>139</v>
      </c>
      <c r="AB11" s="15"/>
    </row>
    <row r="12" spans="1:28" ht="20.100000000000001" customHeight="1" x14ac:dyDescent="0.3">
      <c r="B12" s="7"/>
      <c r="C12" s="33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34"/>
      <c r="R12" s="8"/>
      <c r="Y12" s="38"/>
      <c r="Z12" s="15"/>
      <c r="AA12" s="15">
        <f t="shared" si="0"/>
        <v>156</v>
      </c>
      <c r="AB12" s="15"/>
    </row>
    <row r="13" spans="1:28" ht="20.100000000000001" customHeight="1" x14ac:dyDescent="0.3">
      <c r="B13" s="7"/>
      <c r="C13" s="33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34"/>
      <c r="R13" s="8"/>
      <c r="Y13" s="38">
        <v>6</v>
      </c>
      <c r="Z13" s="15"/>
      <c r="AA13" s="15">
        <f t="shared" si="0"/>
        <v>173</v>
      </c>
      <c r="AB13" s="15"/>
    </row>
    <row r="14" spans="1:28" ht="20.100000000000001" customHeight="1" x14ac:dyDescent="0.3">
      <c r="B14" s="7"/>
      <c r="C14" s="35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8"/>
      <c r="Y14" s="38"/>
      <c r="Z14" s="15"/>
      <c r="AA14" s="15">
        <f t="shared" si="0"/>
        <v>190</v>
      </c>
      <c r="AB14" s="15"/>
    </row>
    <row r="15" spans="1:28" ht="20.100000000000001" customHeight="1" x14ac:dyDescent="0.3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1"/>
      <c r="Y15" s="38">
        <v>7</v>
      </c>
      <c r="Z15" s="15"/>
      <c r="AA15" s="15">
        <f t="shared" si="0"/>
        <v>207</v>
      </c>
      <c r="AB15" s="15"/>
    </row>
    <row r="16" spans="1:28" ht="20.100000000000001" customHeight="1" x14ac:dyDescent="0.3">
      <c r="B16" s="39" t="s">
        <v>3</v>
      </c>
      <c r="C16" s="32"/>
      <c r="D16" s="30" t="s">
        <v>9</v>
      </c>
      <c r="E16" s="31"/>
      <c r="F16" s="31"/>
      <c r="G16" s="31"/>
      <c r="H16" s="31"/>
      <c r="I16" s="31"/>
      <c r="J16" s="31"/>
      <c r="K16" s="31"/>
      <c r="L16" s="32"/>
      <c r="M16" s="40" t="s">
        <v>2</v>
      </c>
      <c r="N16" s="40"/>
      <c r="O16" s="42" t="s">
        <v>4</v>
      </c>
      <c r="P16" s="42"/>
      <c r="Q16" s="42"/>
      <c r="R16" s="42"/>
      <c r="Y16" s="38"/>
      <c r="Z16" s="15"/>
      <c r="AA16" s="15">
        <f t="shared" si="0"/>
        <v>224</v>
      </c>
      <c r="AB16" s="15"/>
    </row>
    <row r="17" spans="1:28" ht="20.100000000000001" customHeight="1" x14ac:dyDescent="0.3">
      <c r="B17" s="35"/>
      <c r="C17" s="37"/>
      <c r="D17" s="35"/>
      <c r="E17" s="36"/>
      <c r="F17" s="36"/>
      <c r="G17" s="36"/>
      <c r="H17" s="36"/>
      <c r="I17" s="36"/>
      <c r="J17" s="36"/>
      <c r="K17" s="36"/>
      <c r="L17" s="37"/>
      <c r="M17" s="41"/>
      <c r="N17" s="41"/>
      <c r="O17" s="43"/>
      <c r="P17" s="43"/>
      <c r="Q17" s="43"/>
      <c r="R17" s="43"/>
      <c r="Y17" s="38">
        <v>8</v>
      </c>
      <c r="Z17" s="15"/>
      <c r="AA17" s="15">
        <f t="shared" si="0"/>
        <v>241</v>
      </c>
      <c r="AB17" s="15"/>
    </row>
    <row r="18" spans="1:28" ht="20.100000000000001" customHeight="1" x14ac:dyDescent="0.3">
      <c r="Y18" s="38"/>
      <c r="Z18" s="15"/>
      <c r="AA18" s="15">
        <f t="shared" si="0"/>
        <v>258</v>
      </c>
      <c r="AB18" s="15"/>
    </row>
    <row r="19" spans="1:28" ht="20.100000000000001" customHeight="1" x14ac:dyDescent="0.3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6"/>
      <c r="Y19" s="38">
        <v>9</v>
      </c>
      <c r="Z19" s="15"/>
      <c r="AA19" s="15">
        <f t="shared" si="0"/>
        <v>275</v>
      </c>
      <c r="AB19" s="15"/>
    </row>
    <row r="20" spans="1:28" ht="20.100000000000001" customHeight="1" x14ac:dyDescent="0.3">
      <c r="A20" s="14">
        <f>ROW()</f>
        <v>20</v>
      </c>
      <c r="B20" s="7"/>
      <c r="C20" s="30" t="str">
        <f>IF(VLOOKUP($A20,$AA$3:$AB$34,2,FALSE)="","",VLOOKUP($A20,$AA$3:$AB$34,2,FALSE))</f>
        <v/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2"/>
      <c r="R20" s="8"/>
      <c r="Y20" s="38"/>
      <c r="Z20" s="15"/>
      <c r="AA20" s="15">
        <f t="shared" si="0"/>
        <v>292</v>
      </c>
      <c r="AB20" s="15"/>
    </row>
    <row r="21" spans="1:28" ht="20.100000000000001" customHeight="1" x14ac:dyDescent="0.3">
      <c r="B21" s="7"/>
      <c r="C21" s="33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34"/>
      <c r="R21" s="8"/>
      <c r="Y21" s="38">
        <v>10</v>
      </c>
      <c r="Z21" s="15"/>
      <c r="AA21" s="15">
        <f t="shared" si="0"/>
        <v>309</v>
      </c>
      <c r="AB21" s="15"/>
    </row>
    <row r="22" spans="1:28" ht="20.100000000000001" customHeight="1" x14ac:dyDescent="0.3">
      <c r="B22" s="7"/>
      <c r="C22" s="33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34"/>
      <c r="R22" s="8"/>
      <c r="Y22" s="38"/>
      <c r="Z22" s="15"/>
      <c r="AA22" s="15">
        <f t="shared" si="0"/>
        <v>326</v>
      </c>
      <c r="AB22" s="15"/>
    </row>
    <row r="23" spans="1:28" ht="20.100000000000001" customHeight="1" x14ac:dyDescent="0.3">
      <c r="B23" s="7"/>
      <c r="C23" s="33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34"/>
      <c r="R23" s="8"/>
      <c r="Y23" s="38">
        <v>11</v>
      </c>
      <c r="Z23" s="15"/>
      <c r="AA23" s="15">
        <f t="shared" si="0"/>
        <v>343</v>
      </c>
      <c r="AB23" s="15"/>
    </row>
    <row r="24" spans="1:28" ht="20.100000000000001" customHeight="1" x14ac:dyDescent="0.3">
      <c r="B24" s="7"/>
      <c r="C24" s="33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34"/>
      <c r="R24" s="8"/>
      <c r="Y24" s="38"/>
      <c r="Z24" s="15"/>
      <c r="AA24" s="15">
        <f t="shared" si="0"/>
        <v>360</v>
      </c>
      <c r="AB24" s="15"/>
    </row>
    <row r="25" spans="1:28" ht="20.100000000000001" customHeight="1" x14ac:dyDescent="0.3">
      <c r="B25" s="7"/>
      <c r="C25" s="33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34"/>
      <c r="R25" s="8"/>
      <c r="Y25" s="38">
        <v>12</v>
      </c>
      <c r="Z25" s="15"/>
      <c r="AA25" s="15">
        <f t="shared" si="0"/>
        <v>377</v>
      </c>
      <c r="AB25" s="15"/>
    </row>
    <row r="26" spans="1:28" ht="20.100000000000001" customHeight="1" x14ac:dyDescent="0.3">
      <c r="B26" s="7"/>
      <c r="C26" s="33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34"/>
      <c r="R26" s="8"/>
      <c r="Y26" s="38"/>
      <c r="Z26" s="15"/>
      <c r="AA26" s="15">
        <f t="shared" si="0"/>
        <v>394</v>
      </c>
      <c r="AB26" s="15"/>
    </row>
    <row r="27" spans="1:28" ht="20.100000000000001" customHeight="1" x14ac:dyDescent="0.3">
      <c r="B27" s="7"/>
      <c r="C27" s="33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34"/>
      <c r="R27" s="8"/>
      <c r="Y27" s="38">
        <v>13</v>
      </c>
      <c r="Z27" s="15"/>
      <c r="AA27" s="15">
        <f t="shared" si="0"/>
        <v>411</v>
      </c>
      <c r="AB27" s="15"/>
    </row>
    <row r="28" spans="1:28" ht="20.100000000000001" customHeight="1" x14ac:dyDescent="0.3">
      <c r="B28" s="7"/>
      <c r="C28" s="33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34"/>
      <c r="R28" s="8"/>
      <c r="Y28" s="38"/>
      <c r="Z28" s="15"/>
      <c r="AA28" s="15">
        <f t="shared" si="0"/>
        <v>428</v>
      </c>
      <c r="AB28" s="15"/>
    </row>
    <row r="29" spans="1:28" ht="20.100000000000001" customHeight="1" x14ac:dyDescent="0.3">
      <c r="B29" s="7"/>
      <c r="C29" s="33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34"/>
      <c r="R29" s="8"/>
      <c r="Y29" s="38">
        <v>14</v>
      </c>
      <c r="Z29" s="15"/>
      <c r="AA29" s="15">
        <f t="shared" si="0"/>
        <v>445</v>
      </c>
      <c r="AB29" s="15"/>
    </row>
    <row r="30" spans="1:28" ht="20.100000000000001" customHeight="1" x14ac:dyDescent="0.3">
      <c r="B30" s="7"/>
      <c r="C30" s="33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34"/>
      <c r="R30" s="8"/>
      <c r="Y30" s="38"/>
      <c r="Z30" s="15"/>
      <c r="AA30" s="15">
        <f t="shared" si="0"/>
        <v>462</v>
      </c>
      <c r="AB30" s="15"/>
    </row>
    <row r="31" spans="1:28" ht="20.100000000000001" customHeight="1" x14ac:dyDescent="0.3">
      <c r="B31" s="7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8"/>
      <c r="Y31" s="38">
        <v>15</v>
      </c>
      <c r="Z31" s="15"/>
      <c r="AA31" s="15">
        <f t="shared" si="0"/>
        <v>479</v>
      </c>
      <c r="AB31" s="15"/>
    </row>
    <row r="32" spans="1:28" ht="20.100000000000001" customHeight="1" x14ac:dyDescent="0.3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1"/>
      <c r="Y32" s="38"/>
      <c r="Z32" s="15"/>
      <c r="AA32" s="15">
        <f t="shared" si="0"/>
        <v>496</v>
      </c>
      <c r="AB32" s="15"/>
    </row>
    <row r="33" spans="2:28" ht="20.100000000000001" customHeight="1" x14ac:dyDescent="0.3">
      <c r="B33" s="39" t="s">
        <v>3</v>
      </c>
      <c r="C33" s="32"/>
      <c r="D33" s="30" t="s">
        <v>9</v>
      </c>
      <c r="E33" s="31"/>
      <c r="F33" s="31"/>
      <c r="G33" s="31"/>
      <c r="H33" s="31"/>
      <c r="I33" s="31"/>
      <c r="J33" s="31"/>
      <c r="K33" s="31"/>
      <c r="L33" s="32"/>
      <c r="M33" s="40" t="s">
        <v>2</v>
      </c>
      <c r="N33" s="40"/>
      <c r="O33" s="42" t="s">
        <v>4</v>
      </c>
      <c r="P33" s="42"/>
      <c r="Q33" s="42"/>
      <c r="R33" s="42"/>
      <c r="Y33" s="38">
        <v>16</v>
      </c>
      <c r="Z33" s="15"/>
      <c r="AA33" s="15">
        <f t="shared" si="0"/>
        <v>513</v>
      </c>
      <c r="AB33" s="15"/>
    </row>
    <row r="34" spans="2:28" ht="20.100000000000001" customHeight="1" x14ac:dyDescent="0.3">
      <c r="B34" s="35"/>
      <c r="C34" s="37"/>
      <c r="D34" s="35"/>
      <c r="E34" s="36"/>
      <c r="F34" s="36"/>
      <c r="G34" s="36"/>
      <c r="H34" s="36"/>
      <c r="I34" s="36"/>
      <c r="J34" s="36"/>
      <c r="K34" s="36"/>
      <c r="L34" s="37"/>
      <c r="M34" s="41"/>
      <c r="N34" s="41"/>
      <c r="O34" s="43"/>
      <c r="P34" s="43"/>
      <c r="Q34" s="43"/>
      <c r="R34" s="43"/>
      <c r="Y34" s="38"/>
      <c r="Z34" s="15"/>
      <c r="AA34" s="15">
        <f t="shared" si="0"/>
        <v>530</v>
      </c>
      <c r="AB34" s="15"/>
    </row>
  </sheetData>
  <mergeCells count="29">
    <mergeCell ref="Y1:AB1"/>
    <mergeCell ref="C20:Q31"/>
    <mergeCell ref="B33:C34"/>
    <mergeCell ref="D33:L34"/>
    <mergeCell ref="M33:N34"/>
    <mergeCell ref="O33:R34"/>
    <mergeCell ref="B1:D1"/>
    <mergeCell ref="E1:R1"/>
    <mergeCell ref="C3:Q14"/>
    <mergeCell ref="B16:C17"/>
    <mergeCell ref="D16:L17"/>
    <mergeCell ref="M16:N17"/>
    <mergeCell ref="O16:R17"/>
    <mergeCell ref="Y3:Y4"/>
    <mergeCell ref="Y5:Y6"/>
    <mergeCell ref="Y7:Y8"/>
    <mergeCell ref="Y9:Y10"/>
    <mergeCell ref="Y11:Y12"/>
    <mergeCell ref="Y13:Y14"/>
    <mergeCell ref="Y15:Y16"/>
    <mergeCell ref="Y17:Y18"/>
    <mergeCell ref="Y31:Y32"/>
    <mergeCell ref="Y33:Y34"/>
    <mergeCell ref="Y19:Y20"/>
    <mergeCell ref="Y21:Y22"/>
    <mergeCell ref="Y23:Y24"/>
    <mergeCell ref="Y25:Y26"/>
    <mergeCell ref="Y27:Y28"/>
    <mergeCell ref="Y29:Y30"/>
  </mergeCells>
  <phoneticPr fontId="2" type="noConversion"/>
  <printOptions horizontalCentered="1"/>
  <pageMargins left="0.59055118110236227" right="0.59055118110236227" top="1.3779527559055118" bottom="0.59055118110236227" header="0.78740157480314965" footer="0.39370078740157483"/>
  <pageSetup paperSize="9" orientation="portrait" r:id="rId1"/>
  <headerFooter>
    <oddHeader>&amp;C&amp;"-,굵게"&amp;24사 진 대 지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D517A-7C7E-4C1A-AF24-434CFD3D9733}">
  <sheetPr codeName="Sheet5"/>
  <dimension ref="A1:AB34"/>
  <sheetViews>
    <sheetView showGridLines="0" zoomScaleNormal="100" zoomScaleSheetLayoutView="70" workbookViewId="0">
      <selection activeCell="Y1" sqref="Y1:AB1"/>
    </sheetView>
  </sheetViews>
  <sheetFormatPr defaultColWidth="4.375" defaultRowHeight="20.100000000000001" customHeight="1" x14ac:dyDescent="0.3"/>
  <cols>
    <col min="25" max="25" width="6.625" customWidth="1"/>
    <col min="26" max="26" width="0" hidden="1" customWidth="1"/>
    <col min="27" max="27" width="5.5" hidden="1" customWidth="1"/>
    <col min="28" max="28" width="24.625" customWidth="1"/>
  </cols>
  <sheetData>
    <row r="1" spans="1:28" ht="20.100000000000001" customHeight="1" x14ac:dyDescent="0.3">
      <c r="A1" s="12"/>
      <c r="B1" s="28" t="s">
        <v>1</v>
      </c>
      <c r="C1" s="28"/>
      <c r="D1" s="28"/>
      <c r="E1" s="29" t="str">
        <f>공사명</f>
        <v>공사명을 입력하시오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12"/>
      <c r="Y1" s="44" t="s">
        <v>25</v>
      </c>
      <c r="Z1" s="44"/>
      <c r="AA1" s="44"/>
      <c r="AB1" s="44"/>
    </row>
    <row r="2" spans="1:28" ht="20.100000000000001" customHeight="1" x14ac:dyDescent="0.3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  <c r="Y2" s="13" t="s">
        <v>12</v>
      </c>
      <c r="AB2" s="13" t="s">
        <v>11</v>
      </c>
    </row>
    <row r="3" spans="1:28" ht="20.100000000000001" customHeight="1" x14ac:dyDescent="0.3">
      <c r="A3" s="14">
        <f>ROW()</f>
        <v>3</v>
      </c>
      <c r="B3" s="7"/>
      <c r="C3" s="30" t="str">
        <f>IF(VLOOKUP($A3,$AA$3:$AB$34,2,FALSE)="","",VLOOKUP($A3,$AA$3:$AB$34,2,FALSE))</f>
        <v/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2"/>
      <c r="R3" s="8"/>
      <c r="Y3" s="38">
        <v>1</v>
      </c>
      <c r="Z3" s="15">
        <v>17</v>
      </c>
      <c r="AA3" s="15">
        <v>3</v>
      </c>
      <c r="AB3" s="15"/>
    </row>
    <row r="4" spans="1:28" ht="20.100000000000001" customHeight="1" x14ac:dyDescent="0.3">
      <c r="B4" s="7"/>
      <c r="C4" s="33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34"/>
      <c r="R4" s="8"/>
      <c r="Y4" s="38"/>
      <c r="Z4" s="15"/>
      <c r="AA4" s="15">
        <f>AA3+$Z$3</f>
        <v>20</v>
      </c>
      <c r="AB4" s="15"/>
    </row>
    <row r="5" spans="1:28" ht="20.100000000000001" customHeight="1" x14ac:dyDescent="0.3">
      <c r="B5" s="7"/>
      <c r="C5" s="33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34"/>
      <c r="R5" s="8"/>
      <c r="Y5" s="38">
        <v>2</v>
      </c>
      <c r="Z5" s="15"/>
      <c r="AA5" s="15">
        <f t="shared" ref="AA5:AA34" si="0">AA4+$Z$3</f>
        <v>37</v>
      </c>
      <c r="AB5" s="15"/>
    </row>
    <row r="6" spans="1:28" ht="20.100000000000001" customHeight="1" x14ac:dyDescent="0.3">
      <c r="B6" s="7"/>
      <c r="C6" s="33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34"/>
      <c r="R6" s="8"/>
      <c r="Y6" s="38"/>
      <c r="Z6" s="15"/>
      <c r="AA6" s="15">
        <f t="shared" si="0"/>
        <v>54</v>
      </c>
      <c r="AB6" s="15"/>
    </row>
    <row r="7" spans="1:28" ht="20.100000000000001" customHeight="1" x14ac:dyDescent="0.3">
      <c r="B7" s="7"/>
      <c r="C7" s="33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34"/>
      <c r="R7" s="8"/>
      <c r="Y7" s="38">
        <v>3</v>
      </c>
      <c r="Z7" s="15"/>
      <c r="AA7" s="15">
        <f t="shared" si="0"/>
        <v>71</v>
      </c>
      <c r="AB7" s="15"/>
    </row>
    <row r="8" spans="1:28" ht="20.100000000000001" customHeight="1" x14ac:dyDescent="0.3">
      <c r="B8" s="7"/>
      <c r="C8" s="33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34"/>
      <c r="R8" s="8"/>
      <c r="Y8" s="38"/>
      <c r="Z8" s="15"/>
      <c r="AA8" s="15">
        <f t="shared" si="0"/>
        <v>88</v>
      </c>
      <c r="AB8" s="15"/>
    </row>
    <row r="9" spans="1:28" ht="20.100000000000001" customHeight="1" x14ac:dyDescent="0.3">
      <c r="B9" s="7"/>
      <c r="C9" s="33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34"/>
      <c r="R9" s="8"/>
      <c r="Y9" s="38">
        <v>4</v>
      </c>
      <c r="Z9" s="15"/>
      <c r="AA9" s="15">
        <f t="shared" si="0"/>
        <v>105</v>
      </c>
      <c r="AB9" s="15"/>
    </row>
    <row r="10" spans="1:28" ht="20.100000000000001" customHeight="1" x14ac:dyDescent="0.3">
      <c r="B10" s="7"/>
      <c r="C10" s="33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34"/>
      <c r="R10" s="8"/>
      <c r="Y10" s="38"/>
      <c r="Z10" s="15"/>
      <c r="AA10" s="15">
        <f t="shared" si="0"/>
        <v>122</v>
      </c>
      <c r="AB10" s="15"/>
    </row>
    <row r="11" spans="1:28" ht="20.100000000000001" customHeight="1" x14ac:dyDescent="0.3">
      <c r="B11" s="7"/>
      <c r="C11" s="33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34"/>
      <c r="R11" s="8"/>
      <c r="Y11" s="38">
        <v>5</v>
      </c>
      <c r="Z11" s="15"/>
      <c r="AA11" s="15">
        <f t="shared" si="0"/>
        <v>139</v>
      </c>
      <c r="AB11" s="15"/>
    </row>
    <row r="12" spans="1:28" ht="20.100000000000001" customHeight="1" x14ac:dyDescent="0.3">
      <c r="B12" s="7"/>
      <c r="C12" s="33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34"/>
      <c r="R12" s="8"/>
      <c r="Y12" s="38"/>
      <c r="Z12" s="15"/>
      <c r="AA12" s="15">
        <f t="shared" si="0"/>
        <v>156</v>
      </c>
      <c r="AB12" s="15"/>
    </row>
    <row r="13" spans="1:28" ht="20.100000000000001" customHeight="1" x14ac:dyDescent="0.3">
      <c r="B13" s="7"/>
      <c r="C13" s="33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34"/>
      <c r="R13" s="8"/>
      <c r="Y13" s="38">
        <v>6</v>
      </c>
      <c r="Z13" s="15"/>
      <c r="AA13" s="15">
        <f t="shared" si="0"/>
        <v>173</v>
      </c>
      <c r="AB13" s="15"/>
    </row>
    <row r="14" spans="1:28" ht="20.100000000000001" customHeight="1" x14ac:dyDescent="0.3">
      <c r="B14" s="7"/>
      <c r="C14" s="35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8"/>
      <c r="Y14" s="38"/>
      <c r="Z14" s="15"/>
      <c r="AA14" s="15">
        <f t="shared" si="0"/>
        <v>190</v>
      </c>
      <c r="AB14" s="15"/>
    </row>
    <row r="15" spans="1:28" ht="20.100000000000001" customHeight="1" x14ac:dyDescent="0.3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1"/>
      <c r="Y15" s="38">
        <v>7</v>
      </c>
      <c r="Z15" s="15"/>
      <c r="AA15" s="15">
        <f t="shared" si="0"/>
        <v>207</v>
      </c>
      <c r="AB15" s="15"/>
    </row>
    <row r="16" spans="1:28" ht="20.100000000000001" customHeight="1" x14ac:dyDescent="0.3">
      <c r="B16" s="39" t="s">
        <v>3</v>
      </c>
      <c r="C16" s="32"/>
      <c r="D16" s="30" t="s">
        <v>10</v>
      </c>
      <c r="E16" s="31"/>
      <c r="F16" s="31"/>
      <c r="G16" s="31"/>
      <c r="H16" s="31"/>
      <c r="I16" s="31"/>
      <c r="J16" s="31"/>
      <c r="K16" s="31"/>
      <c r="L16" s="32"/>
      <c r="M16" s="40" t="s">
        <v>2</v>
      </c>
      <c r="N16" s="40"/>
      <c r="O16" s="42" t="s">
        <v>4</v>
      </c>
      <c r="P16" s="42"/>
      <c r="Q16" s="42"/>
      <c r="R16" s="42"/>
      <c r="Y16" s="38"/>
      <c r="Z16" s="15"/>
      <c r="AA16" s="15">
        <f t="shared" si="0"/>
        <v>224</v>
      </c>
      <c r="AB16" s="15"/>
    </row>
    <row r="17" spans="1:28" ht="20.100000000000001" customHeight="1" x14ac:dyDescent="0.3">
      <c r="B17" s="35"/>
      <c r="C17" s="37"/>
      <c r="D17" s="35"/>
      <c r="E17" s="36"/>
      <c r="F17" s="36"/>
      <c r="G17" s="36"/>
      <c r="H17" s="36"/>
      <c r="I17" s="36"/>
      <c r="J17" s="36"/>
      <c r="K17" s="36"/>
      <c r="L17" s="37"/>
      <c r="M17" s="41"/>
      <c r="N17" s="41"/>
      <c r="O17" s="43"/>
      <c r="P17" s="43"/>
      <c r="Q17" s="43"/>
      <c r="R17" s="43"/>
      <c r="Y17" s="38">
        <v>8</v>
      </c>
      <c r="Z17" s="15"/>
      <c r="AA17" s="15">
        <f t="shared" si="0"/>
        <v>241</v>
      </c>
      <c r="AB17" s="15"/>
    </row>
    <row r="18" spans="1:28" ht="20.100000000000001" customHeight="1" x14ac:dyDescent="0.3">
      <c r="Y18" s="38"/>
      <c r="Z18" s="15"/>
      <c r="AA18" s="15">
        <f t="shared" si="0"/>
        <v>258</v>
      </c>
      <c r="AB18" s="15"/>
    </row>
    <row r="19" spans="1:28" ht="20.100000000000001" customHeight="1" x14ac:dyDescent="0.3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6"/>
      <c r="Y19" s="38">
        <v>9</v>
      </c>
      <c r="Z19" s="15"/>
      <c r="AA19" s="15">
        <f t="shared" si="0"/>
        <v>275</v>
      </c>
      <c r="AB19" s="15"/>
    </row>
    <row r="20" spans="1:28" ht="20.100000000000001" customHeight="1" x14ac:dyDescent="0.3">
      <c r="A20" s="14">
        <f>ROW()</f>
        <v>20</v>
      </c>
      <c r="B20" s="7"/>
      <c r="C20" s="30" t="str">
        <f>IF(VLOOKUP($A20,$AA$3:$AB$34,2,FALSE)="","",VLOOKUP($A20,$AA$3:$AB$34,2,FALSE))</f>
        <v/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2"/>
      <c r="R20" s="8"/>
      <c r="Y20" s="38"/>
      <c r="Z20" s="15"/>
      <c r="AA20" s="15">
        <f t="shared" si="0"/>
        <v>292</v>
      </c>
      <c r="AB20" s="15"/>
    </row>
    <row r="21" spans="1:28" ht="20.100000000000001" customHeight="1" x14ac:dyDescent="0.3">
      <c r="B21" s="7"/>
      <c r="C21" s="33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34"/>
      <c r="R21" s="8"/>
      <c r="Y21" s="38">
        <v>10</v>
      </c>
      <c r="Z21" s="15"/>
      <c r="AA21" s="15">
        <f t="shared" si="0"/>
        <v>309</v>
      </c>
      <c r="AB21" s="15"/>
    </row>
    <row r="22" spans="1:28" ht="20.100000000000001" customHeight="1" x14ac:dyDescent="0.3">
      <c r="B22" s="7"/>
      <c r="C22" s="33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34"/>
      <c r="R22" s="8"/>
      <c r="Y22" s="38"/>
      <c r="Z22" s="15"/>
      <c r="AA22" s="15">
        <f t="shared" si="0"/>
        <v>326</v>
      </c>
      <c r="AB22" s="15"/>
    </row>
    <row r="23" spans="1:28" ht="20.100000000000001" customHeight="1" x14ac:dyDescent="0.3">
      <c r="B23" s="7"/>
      <c r="C23" s="33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34"/>
      <c r="R23" s="8"/>
      <c r="Y23" s="38">
        <v>11</v>
      </c>
      <c r="Z23" s="15"/>
      <c r="AA23" s="15">
        <f t="shared" si="0"/>
        <v>343</v>
      </c>
      <c r="AB23" s="15"/>
    </row>
    <row r="24" spans="1:28" ht="20.100000000000001" customHeight="1" x14ac:dyDescent="0.3">
      <c r="B24" s="7"/>
      <c r="C24" s="33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34"/>
      <c r="R24" s="8"/>
      <c r="Y24" s="38"/>
      <c r="Z24" s="15"/>
      <c r="AA24" s="15">
        <f t="shared" si="0"/>
        <v>360</v>
      </c>
      <c r="AB24" s="15"/>
    </row>
    <row r="25" spans="1:28" ht="20.100000000000001" customHeight="1" x14ac:dyDescent="0.3">
      <c r="B25" s="7"/>
      <c r="C25" s="33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34"/>
      <c r="R25" s="8"/>
      <c r="Y25" s="38">
        <v>12</v>
      </c>
      <c r="Z25" s="15"/>
      <c r="AA25" s="15">
        <f t="shared" si="0"/>
        <v>377</v>
      </c>
      <c r="AB25" s="15"/>
    </row>
    <row r="26" spans="1:28" ht="20.100000000000001" customHeight="1" x14ac:dyDescent="0.3">
      <c r="B26" s="7"/>
      <c r="C26" s="33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34"/>
      <c r="R26" s="8"/>
      <c r="Y26" s="38"/>
      <c r="Z26" s="15"/>
      <c r="AA26" s="15">
        <f t="shared" si="0"/>
        <v>394</v>
      </c>
      <c r="AB26" s="15"/>
    </row>
    <row r="27" spans="1:28" ht="20.100000000000001" customHeight="1" x14ac:dyDescent="0.3">
      <c r="B27" s="7"/>
      <c r="C27" s="33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34"/>
      <c r="R27" s="8"/>
      <c r="Y27" s="38">
        <v>13</v>
      </c>
      <c r="Z27" s="15"/>
      <c r="AA27" s="15">
        <f t="shared" si="0"/>
        <v>411</v>
      </c>
      <c r="AB27" s="15"/>
    </row>
    <row r="28" spans="1:28" ht="20.100000000000001" customHeight="1" x14ac:dyDescent="0.3">
      <c r="B28" s="7"/>
      <c r="C28" s="33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34"/>
      <c r="R28" s="8"/>
      <c r="Y28" s="38"/>
      <c r="Z28" s="15"/>
      <c r="AA28" s="15">
        <f t="shared" si="0"/>
        <v>428</v>
      </c>
      <c r="AB28" s="15"/>
    </row>
    <row r="29" spans="1:28" ht="20.100000000000001" customHeight="1" x14ac:dyDescent="0.3">
      <c r="B29" s="7"/>
      <c r="C29" s="33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34"/>
      <c r="R29" s="8"/>
      <c r="Y29" s="38">
        <v>14</v>
      </c>
      <c r="Z29" s="15"/>
      <c r="AA29" s="15">
        <f t="shared" si="0"/>
        <v>445</v>
      </c>
      <c r="AB29" s="15"/>
    </row>
    <row r="30" spans="1:28" ht="20.100000000000001" customHeight="1" x14ac:dyDescent="0.3">
      <c r="B30" s="7"/>
      <c r="C30" s="33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34"/>
      <c r="R30" s="8"/>
      <c r="Y30" s="38"/>
      <c r="Z30" s="15"/>
      <c r="AA30" s="15">
        <f t="shared" si="0"/>
        <v>462</v>
      </c>
      <c r="AB30" s="15"/>
    </row>
    <row r="31" spans="1:28" ht="20.100000000000001" customHeight="1" x14ac:dyDescent="0.3">
      <c r="B31" s="7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8"/>
      <c r="Y31" s="38">
        <v>15</v>
      </c>
      <c r="Z31" s="15"/>
      <c r="AA31" s="15">
        <f t="shared" si="0"/>
        <v>479</v>
      </c>
      <c r="AB31" s="15"/>
    </row>
    <row r="32" spans="1:28" ht="20.100000000000001" customHeight="1" x14ac:dyDescent="0.3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1"/>
      <c r="Y32" s="38"/>
      <c r="Z32" s="15"/>
      <c r="AA32" s="15">
        <f t="shared" si="0"/>
        <v>496</v>
      </c>
      <c r="AB32" s="15"/>
    </row>
    <row r="33" spans="2:28" ht="20.100000000000001" customHeight="1" x14ac:dyDescent="0.3">
      <c r="B33" s="39" t="s">
        <v>3</v>
      </c>
      <c r="C33" s="32"/>
      <c r="D33" s="30" t="s">
        <v>10</v>
      </c>
      <c r="E33" s="31"/>
      <c r="F33" s="31"/>
      <c r="G33" s="31"/>
      <c r="H33" s="31"/>
      <c r="I33" s="31"/>
      <c r="J33" s="31"/>
      <c r="K33" s="31"/>
      <c r="L33" s="32"/>
      <c r="M33" s="40" t="s">
        <v>2</v>
      </c>
      <c r="N33" s="40"/>
      <c r="O33" s="42" t="s">
        <v>4</v>
      </c>
      <c r="P33" s="42"/>
      <c r="Q33" s="42"/>
      <c r="R33" s="42"/>
      <c r="Y33" s="38">
        <v>16</v>
      </c>
      <c r="Z33" s="15"/>
      <c r="AA33" s="15">
        <f t="shared" si="0"/>
        <v>513</v>
      </c>
      <c r="AB33" s="15"/>
    </row>
    <row r="34" spans="2:28" ht="20.100000000000001" customHeight="1" x14ac:dyDescent="0.3">
      <c r="B34" s="35"/>
      <c r="C34" s="37"/>
      <c r="D34" s="35"/>
      <c r="E34" s="36"/>
      <c r="F34" s="36"/>
      <c r="G34" s="36"/>
      <c r="H34" s="36"/>
      <c r="I34" s="36"/>
      <c r="J34" s="36"/>
      <c r="K34" s="36"/>
      <c r="L34" s="37"/>
      <c r="M34" s="41"/>
      <c r="N34" s="41"/>
      <c r="O34" s="43"/>
      <c r="P34" s="43"/>
      <c r="Q34" s="43"/>
      <c r="R34" s="43"/>
      <c r="Y34" s="38"/>
      <c r="Z34" s="15"/>
      <c r="AA34" s="15">
        <f t="shared" si="0"/>
        <v>530</v>
      </c>
      <c r="AB34" s="15"/>
    </row>
  </sheetData>
  <mergeCells count="29">
    <mergeCell ref="Y1:AB1"/>
    <mergeCell ref="C20:Q31"/>
    <mergeCell ref="B33:C34"/>
    <mergeCell ref="D33:L34"/>
    <mergeCell ref="M33:N34"/>
    <mergeCell ref="O33:R34"/>
    <mergeCell ref="B1:D1"/>
    <mergeCell ref="E1:R1"/>
    <mergeCell ref="C3:Q14"/>
    <mergeCell ref="B16:C17"/>
    <mergeCell ref="D16:L17"/>
    <mergeCell ref="M16:N17"/>
    <mergeCell ref="O16:R17"/>
    <mergeCell ref="Y3:Y4"/>
    <mergeCell ref="Y5:Y6"/>
    <mergeCell ref="Y7:Y8"/>
    <mergeCell ref="Y9:Y10"/>
    <mergeCell ref="Y11:Y12"/>
    <mergeCell ref="Y13:Y14"/>
    <mergeCell ref="Y15:Y16"/>
    <mergeCell ref="Y17:Y18"/>
    <mergeCell ref="Y31:Y32"/>
    <mergeCell ref="Y33:Y34"/>
    <mergeCell ref="Y19:Y20"/>
    <mergeCell ref="Y21:Y22"/>
    <mergeCell ref="Y23:Y24"/>
    <mergeCell ref="Y25:Y26"/>
    <mergeCell ref="Y27:Y28"/>
    <mergeCell ref="Y29:Y30"/>
  </mergeCells>
  <phoneticPr fontId="2" type="noConversion"/>
  <printOptions horizontalCentered="1"/>
  <pageMargins left="0.59055118110236227" right="0.59055118110236227" top="1.3779527559055118" bottom="0.59055118110236227" header="0.78740157480314965" footer="0.39370078740157483"/>
  <pageSetup paperSize="9" orientation="portrait" r:id="rId1"/>
  <headerFooter>
    <oddHeader>&amp;C&amp;"-,굵게"&amp;24사 진 대 지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3</vt:i4>
      </vt:variant>
    </vt:vector>
  </HeadingPairs>
  <TitlesOfParts>
    <vt:vector size="9" baseType="lpstr">
      <vt:lpstr>표지</vt:lpstr>
      <vt:lpstr>공사전</vt:lpstr>
      <vt:lpstr>공사전후</vt:lpstr>
      <vt:lpstr>공사중</vt:lpstr>
      <vt:lpstr>안전관리비</vt:lpstr>
      <vt:lpstr>환경보전비</vt:lpstr>
      <vt:lpstr>공사중!Print_Area</vt:lpstr>
      <vt:lpstr>표지!Print_Area</vt:lpstr>
      <vt:lpstr>공사명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이승수</dc:creator>
  <cp:lastModifiedBy>승수 이</cp:lastModifiedBy>
  <cp:lastPrinted>2025-11-18T06:31:32Z</cp:lastPrinted>
  <dcterms:created xsi:type="dcterms:W3CDTF">2015-01-26T04:10:47Z</dcterms:created>
  <dcterms:modified xsi:type="dcterms:W3CDTF">2026-08-15T14:29:59Z</dcterms:modified>
</cp:coreProperties>
</file>